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清單" sheetId="1" state="visible" r:id="rId1"/>
    <sheet xmlns:r="http://schemas.openxmlformats.org/officeDocument/2006/relationships" name="報價出處索引" sheetId="2" state="visible" r:id="rId2"/>
    <sheet xmlns:r="http://schemas.openxmlformats.org/officeDocument/2006/relationships" name="待詢價清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(#,##0.00);&quot;-&quot;"/>
    <numFmt numFmtId="165" formatCode="0.0%"/>
    <numFmt numFmtId="166" formatCode="#,##0;(#,##0);&quot;-&quot;"/>
    <numFmt numFmtId="167" formatCode="#,##0.0;(#,##0.0);&quot;-&quot;"/>
  </numFmts>
  <fonts count="8">
    <font>
      <name val="Calibri"/>
      <family val="2"/>
      <color theme="1"/>
      <sz val="11"/>
      <scheme val="minor"/>
    </font>
    <font>
      <name val="Microsoft JhengHei"/>
      <b val="1"/>
      <color rgb="001F3864"/>
      <sz val="14"/>
    </font>
    <font>
      <name val="Microsoft JhengHei"/>
      <i val="1"/>
      <color rgb="00595959"/>
      <sz val="9"/>
    </font>
    <font>
      <name val="Microsoft JhengHei"/>
      <b val="1"/>
      <color rgb="00FFFFFF"/>
      <sz val="10"/>
    </font>
    <font>
      <name val="Microsoft JhengHei"/>
      <color rgb="00000000"/>
      <sz val="10"/>
    </font>
    <font>
      <name val="Microsoft JhengHei"/>
      <color rgb="000000FF"/>
      <sz val="10"/>
    </font>
    <font>
      <name val="Microsoft JhengHei"/>
      <b val="1"/>
      <color rgb="001F3864"/>
      <sz val="10"/>
    </font>
    <font>
      <name val="Microsoft JhengHe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6" fillId="3" borderId="1" pivotButton="0" quotePrefix="0" xfId="0"/>
    <xf numFmtId="0" fontId="0" fillId="3" borderId="1" pivotButton="0" quotePrefix="0" xfId="0"/>
    <xf numFmtId="0" fontId="4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166" fontId="5" fillId="0" borderId="1" applyAlignment="1" pivotButton="0" quotePrefix="0" xfId="0">
      <alignment horizontal="center" vertical="top" wrapText="1"/>
    </xf>
    <xf numFmtId="167" fontId="5" fillId="0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167" fontId="7" fillId="4" borderId="1" applyAlignment="1" pivotButton="0" quotePrefix="0" xfId="0">
      <alignment vertical="top" wrapText="1"/>
    </xf>
    <xf numFmtId="167" fontId="7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30" customWidth="1" min="4" max="4"/>
    <col width="6" customWidth="1" min="5" max="5"/>
    <col width="10" customWidth="1" min="6" max="6"/>
    <col width="10" customWidth="1" min="7" max="7"/>
    <col width="42" customWidth="1" min="8" max="8"/>
    <col width="16" customWidth="1" min="9" max="9"/>
    <col width="30" customWidth="1" min="10" max="10"/>
    <col width="30" customWidth="1" min="11" max="11"/>
    <col width="30" customWidth="1" min="12" max="12"/>
    <col width="12" customWidth="1" min="13" max="13"/>
    <col width="34" customWidth="1" min="14" max="14"/>
  </cols>
  <sheetData>
    <row r="1">
      <c r="A1" s="1" t="inlineStr">
        <is>
          <t>極簡版 Hub-motor E-Bike BOM 清單：單價、報價出處、MOQ、供應商（RMB，10 萬台/年估）</t>
        </is>
      </c>
    </row>
    <row r="2" ht="42" customHeight="1">
      <c r="A2" s="2" t="inlineStr">
        <is>
          <t>基準：V4 模型分頁 1「單價來源（已查證，MOQ 標註於備註）」極簡配置，材料合計 RMB 1,121；補充盡調報告、三電 BOM 報告附錄 A（BESV 2026/06 內部錨點）與附錄 B（外部基準）。藍字為單價輸入，黑字為公式。「來源文件已具名」為文件中出現的供應商／品牌；「建議詢價」為本表補充、尚未接觸亦無報價。2026-09-23</t>
        </is>
      </c>
    </row>
    <row r="4">
      <c r="A4" s="3" t="inlineStr">
        <is>
          <t>序</t>
        </is>
      </c>
      <c r="B4" s="3" t="inlineStr">
        <is>
          <t>系統</t>
        </is>
      </c>
      <c r="C4" s="3" t="inlineStr">
        <is>
          <t>項目</t>
        </is>
      </c>
      <c r="D4" s="3" t="inlineStr">
        <is>
          <t>規格</t>
        </is>
      </c>
      <c r="E4" s="3" t="inlineStr">
        <is>
          <t>數量</t>
        </is>
      </c>
      <c r="F4" s="3" t="inlineStr">
        <is>
          <t>單價 RMB</t>
        </is>
      </c>
      <c r="G4" s="3" t="inlineStr">
        <is>
          <t>小計 RMB</t>
        </is>
      </c>
      <c r="H4" s="3" t="inlineStr">
        <is>
          <t>報價依據（掛牌價／錨點原值）</t>
        </is>
      </c>
      <c r="I4" s="3" t="inlineStr">
        <is>
          <t>MOQ／量級</t>
        </is>
      </c>
      <c r="J4" s="3" t="inlineStr">
        <is>
          <t>報價出處（文件）</t>
        </is>
      </c>
      <c r="K4" s="3" t="inlineStr">
        <is>
          <t>來源文件已具名之供應商／品牌</t>
        </is>
      </c>
      <c r="L4" s="3" t="inlineStr">
        <is>
          <t>建議詢價供應商（本表補充，未接觸）</t>
        </is>
      </c>
      <c r="M4" s="3" t="inlineStr">
        <is>
          <t>驗證狀態</t>
        </is>
      </c>
      <c r="N4" s="3" t="inlineStr">
        <is>
          <t>備註／待辦</t>
        </is>
      </c>
    </row>
    <row r="5">
      <c r="A5" s="4" t="inlineStr">
        <is>
          <t>匯率 USD/RMB</t>
        </is>
      </c>
      <c r="F5" s="5" t="n">
        <v>7.05</v>
      </c>
      <c r="H5" s="4" t="inlineStr">
        <is>
          <t>V4 分頁 1 B6</t>
        </is>
      </c>
    </row>
    <row r="6">
      <c r="A6" s="4" t="inlineStr">
        <is>
          <t>匯率 NTD/RMB</t>
        </is>
      </c>
      <c r="F6" s="5" t="n">
        <v>4.54</v>
      </c>
      <c r="H6" s="4" t="inlineStr">
        <is>
          <t>V4 分頁 1 B7</t>
        </is>
      </c>
    </row>
    <row r="7">
      <c r="A7" s="4" t="inlineStr">
        <is>
          <t>電芯單價 RMB/Wh</t>
        </is>
      </c>
      <c r="F7" s="5" t="n">
        <v>0.66</v>
      </c>
      <c r="H7" s="4" t="inlineStr">
        <is>
          <t>V4 分頁 1 B10：21700 量產 RMB 610–720/kWh；DMEGC 50E $1.80–1.90 @MOQ100</t>
        </is>
      </c>
    </row>
    <row r="8">
      <c r="A8" s="4" t="inlineStr">
        <is>
          <t>電池包加工毛利</t>
        </is>
      </c>
      <c r="F8" s="6" t="n">
        <v>0.18</v>
      </c>
      <c r="H8" s="4" t="inlineStr">
        <is>
          <t>V4 分頁 1 B12</t>
        </is>
      </c>
    </row>
    <row r="10">
      <c r="A10" s="7" t="inlineStr">
        <is>
          <t>1. 三電（不含電池）── 計入出廠價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9" t="n">
        <v>1</v>
      </c>
      <c r="B11" s="4" t="inlineStr">
        <is>
          <t>三電</t>
        </is>
      </c>
      <c r="C11" s="10" t="inlineStr">
        <is>
          <t>250W 齒輪後輪轂馬達</t>
        </is>
      </c>
      <c r="D11" s="4" t="inlineStr">
        <is>
          <t>商品化 2.3–3.0 kg、輪端 30–32 N·m、135mm 開檔、螺紋單速飛輪座；控制器整合側蓋另計</t>
        </is>
      </c>
      <c r="E11" s="11" t="n">
        <v>1</v>
      </c>
      <c r="F11" s="12" t="n">
        <v>205</v>
      </c>
      <c r="G11" s="13">
        <f>E11*F11</f>
        <v>205.0</v>
      </c>
      <c r="H11" s="4" t="inlineStr">
        <is>
          <t>常州 Found US$34–45 @30 set、US$34.5–39.2 @100 pc；Bafang RM G010 FOB US$69–79 @500 pcs（3.0 kg／32 N·m）；八方／安乃達齒輪輪轂 ASP RMB 230–335（年報）；通用 250W 輪轂 Alibaba ≈US$55；BESV 錨點 AKM 後輪轂 NT$2,807（小量）</t>
        </is>
      </c>
      <c r="I11" s="4" t="inlineStr">
        <is>
          <t>30–500 pc；年報 ASP 為量產</t>
        </is>
      </c>
      <c r="J11" s="4" t="inlineStr">
        <is>
          <t>V4 分頁 1；盡調報告第二、四節；BOM 報告附錄 A、B</t>
        </is>
      </c>
      <c r="K11" s="4" t="inlineStr">
        <is>
          <t>常州 Found；Bafang 八方（RM G010、G310）；Ananda 安乃達（AKM 品牌，BESV 既有供應商）；Mivice（Tenways 用，40 N·m）；Mahle X20／X35+（OEM 專供，無公開價，僅對照）</t>
        </is>
      </c>
      <c r="L11" s="4" t="inlineStr">
        <is>
          <t>Shengyi 盛義、XOFO 信孚；請 Bafang／Ananda／Found 報「輪轂 + 側蓋整合控制器」整合價</t>
        </is>
      </c>
      <c r="M11" s="14" t="inlineStr">
        <is>
          <t>掛牌價／年報 ASP</t>
        </is>
      </c>
      <c r="N11" s="4" t="inlineStr">
        <is>
          <t>盡調：1.35 kg／40 N·m 無量產品，ALEX TK-06U 為 IP54 螺紋飛輪、寬 83.2mm，不採用。三檔（10k／30k／100k）書面報價為第一優先</t>
        </is>
      </c>
    </row>
    <row r="12">
      <c r="A12" s="9" t="n">
        <v>2</v>
      </c>
      <c r="B12" s="4" t="inlineStr">
        <is>
          <t>三電</t>
        </is>
      </c>
      <c r="C12" s="10" t="inlineStr">
        <is>
          <t>36V 15A 正弦波控制器（整合側蓋）</t>
        </is>
      </c>
      <c r="D12" s="4" t="inlineStr">
        <is>
          <t>同時吃踏頻脈衝與 0–5V 扭力訊號；限速與峰值電流燒 OTP；燈輸出、煞車斷電</t>
        </is>
      </c>
      <c r="E12" s="11" t="n">
        <v>1</v>
      </c>
      <c r="F12" s="12" t="n">
        <v>60</v>
      </c>
      <c r="G12" s="13">
        <f>E12*F12</f>
        <v>60.0</v>
      </c>
      <c r="H12" s="4" t="inlineStr">
        <is>
          <t>外掛控制器 US$7.2 @100 pc + 外殼／相線束／連接器／支架／工時；整合進側蓋省 RMB 23–41；BESV 錨點 YTMT02（RPM 250W for 8FUN MAX）NT$1,126、Controller cartridge 3G 達方自製 NT$2,577、YCDT03 25 km/h EU NT$2,050</t>
        </is>
      </c>
      <c r="I12" s="4" t="inlineStr">
        <is>
          <t>100 pc（外掛掛牌）</t>
        </is>
      </c>
      <c r="J12" s="4" t="inlineStr">
        <is>
          <t>V4 分頁 1、分頁 7；BOM 報告附錄 A</t>
        </is>
      </c>
      <c r="K12" s="4" t="inlineStr">
        <is>
          <t>達方自製 controller cartridge；YTMT02、YCDT03（BESV 既有料號，供應商未具名）</t>
        </is>
      </c>
      <c r="L12" s="4" t="inlineStr">
        <is>
          <t>麗水 Lishui、昆騰 KT；或由達方韌體 + 馬達廠側蓋共同開發（達瑞 actuator 團隊）</t>
        </is>
      </c>
      <c r="M12" s="14" t="inlineStr">
        <is>
          <t>掛牌價／內部錨點</t>
        </is>
      </c>
      <c r="N12" s="4" t="inlineStr">
        <is>
          <t>V4 分頁 7：控制器設計成雙訊號輸入，每台多 RMB 1–2，差異化延到總裝</t>
        </is>
      </c>
    </row>
    <row r="13">
      <c r="A13" s="9" t="n">
        <v>3</v>
      </c>
      <c r="B13" s="4" t="inlineStr">
        <is>
          <t>三電</t>
        </is>
      </c>
      <c r="C13" s="10" t="inlineStr">
        <is>
          <t>PAS 踏頻盤</t>
        </is>
      </c>
      <c r="D13" s="4" t="inlineStr">
        <is>
          <t>12 磁極 + 引線（比 5 磁極反應快）</t>
        </is>
      </c>
      <c r="E13" s="11" t="n">
        <v>1</v>
      </c>
      <c r="F13" s="12" t="n">
        <v>8</v>
      </c>
      <c r="G13" s="13">
        <f>E13*F13</f>
        <v>8.0</v>
      </c>
      <c r="H13" s="4" t="inlineStr">
        <is>
          <t>US$1.99 @568 pc（12 磁極貴約 RMB 2）</t>
        </is>
      </c>
      <c r="I13" s="4" t="inlineStr">
        <is>
          <t>568 pc</t>
        </is>
      </c>
      <c r="J13" s="4" t="inlineStr">
        <is>
          <t>V4 分頁 1、分頁 7</t>
        </is>
      </c>
      <c r="K13" s="4" t="inlineStr">
        <is>
          <t>未具名（1688／Made-in-China 通用件）</t>
        </is>
      </c>
      <c r="L13" s="4" t="inlineStr">
        <is>
          <t>通用件，隨馬達廠配套詢價</t>
        </is>
      </c>
      <c r="M13" s="14" t="inlineStr">
        <is>
          <t>掛牌價</t>
        </is>
      </c>
      <c r="N13" s="4" t="inlineStr">
        <is>
          <t>分頁 7 列 RMB 10（含引線），分頁 1 列 8，本表取分頁 1</t>
        </is>
      </c>
    </row>
    <row r="14">
      <c r="A14" s="9" t="n">
        <v>4</v>
      </c>
      <c r="B14" s="4" t="inlineStr">
        <is>
          <t>三電</t>
        </is>
      </c>
      <c r="C14" s="10" t="inlineStr">
        <is>
          <t>單鍵 RGB 按鍵 + 4pin 線束（無儀表）</t>
        </is>
      </c>
      <c r="D14" s="4" t="inlineStr">
        <is>
          <t>上管或把手單鍵、3 段 LED 電量；取代 LCD + HiGo 5pin</t>
        </is>
      </c>
      <c r="E14" s="11" t="n">
        <v>1</v>
      </c>
      <c r="F14" s="12" t="n">
        <v>22</v>
      </c>
      <c r="G14" s="13">
        <f>E14*F14</f>
        <v>22.0</v>
      </c>
      <c r="H14" s="4" t="inlineStr">
        <is>
          <t>LCD US$8.38–10.21 @10 pc + HiGo 5pin 線束（傳統配置 RMB 70）vs 單鍵 RGB + 4pin（極簡 RMB 22）</t>
        </is>
      </c>
      <c r="I14" s="4" t="inlineStr">
        <is>
          <t>10 pc（LCD 對照）</t>
        </is>
      </c>
      <c r="J14" s="4" t="inlineStr">
        <is>
          <t>V4 分頁 1；BOM 報告附錄 A（LCM NT$534、TFT NT$1,164 對照）</t>
        </is>
      </c>
      <c r="K14" s="4" t="inlineStr">
        <is>
          <t>HiGo（連接器／線束品牌）</t>
        </is>
      </c>
      <c r="L14" s="4" t="inlineStr">
        <is>
          <t>HiGo、Julet 線束；按鍵通用件</t>
        </is>
      </c>
      <c r="M14" s="14" t="inlineStr">
        <is>
          <t>掛牌價</t>
        </is>
      </c>
      <c r="N14" s="4" t="inlineStr"/>
    </row>
    <row r="15">
      <c r="A15" s="9" t="n">
        <v>5</v>
      </c>
      <c r="B15" s="4" t="inlineStr">
        <is>
          <t>三電</t>
        </is>
      </c>
      <c r="C15" s="10" t="inlineStr">
        <is>
          <t>主線束</t>
        </is>
      </c>
      <c r="D15" s="4" t="inlineStr">
        <is>
          <t>無變速線、無儀表線；外走線</t>
        </is>
      </c>
      <c r="E15" s="11" t="n">
        <v>1</v>
      </c>
      <c r="F15" s="12" t="n">
        <v>25</v>
      </c>
      <c r="G15" s="13">
        <f>E15*F15</f>
        <v>25.0</v>
      </c>
      <c r="H15" s="4" t="inlineStr">
        <is>
          <t>V4：傳統 38 → 極簡 25；BESV 錨點 Cartridge 主線束 5 條 NT$771、整車主線束 NT$1,264（小量）</t>
        </is>
      </c>
      <c r="I15" s="4" t="inlineStr">
        <is>
          <t>—</t>
        </is>
      </c>
      <c r="J15" s="4" t="inlineStr">
        <is>
          <t>V4 分頁 1；BOM 報告附錄 A</t>
        </is>
      </c>
      <c r="K15" s="4" t="inlineStr">
        <is>
          <t>未具名</t>
        </is>
      </c>
      <c r="L15" s="4" t="inlineStr">
        <is>
          <t>HiGo、Julet</t>
        </is>
      </c>
      <c r="M15" s="15" t="inlineStr">
        <is>
          <t>估值（含錨點對照）</t>
        </is>
      </c>
      <c r="N15" s="4" t="inlineStr"/>
    </row>
    <row r="16">
      <c r="C16" s="10" t="inlineStr">
        <is>
          <t>三電小計（V4 極簡配置基準）</t>
        </is>
      </c>
      <c r="G16" s="16">
        <f>SUM(G11:G15)</f>
        <v>320.0</v>
      </c>
    </row>
    <row r="18">
      <c r="A18" s="7" t="inlineStr">
        <is>
          <t>1b. 三電 B 方案增量（踏頻 + IMU + 電流估算；V4 分頁 7）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9" t="n">
        <v>6</v>
      </c>
      <c r="B19" s="4" t="inlineStr">
        <is>
          <t>三電 B 方案增量</t>
        </is>
      </c>
      <c r="C19" s="10" t="inlineStr">
        <is>
          <t>煞把斷電開關 ×2</t>
        </is>
      </c>
      <c r="D19" s="4" t="inlineStr">
        <is>
          <t>磁簧式，整合於煞車把手；EN 15194 §4.2.13.1 斷電距離 ≤2 m</t>
        </is>
      </c>
      <c r="E19" s="11" t="n">
        <v>2</v>
      </c>
      <c r="F19" s="12" t="n">
        <v>6</v>
      </c>
      <c r="G19" s="13">
        <f>E19*F19</f>
        <v>12.0</v>
      </c>
      <c r="H19" s="4" t="inlineStr">
        <is>
          <t>V4 分頁 7：RMB 12／對（A、B、C 三方案皆列）；BESV 錨點煞車斷電感測開關 NT$180／個（小量）</t>
        </is>
      </c>
      <c r="I19" s="4" t="inlineStr">
        <is>
          <t>—</t>
        </is>
      </c>
      <c r="J19" s="4" t="inlineStr">
        <is>
          <t>V4 分頁 7；BOM 報告附錄 A</t>
        </is>
      </c>
      <c r="K19" s="4" t="inlineStr">
        <is>
          <t>未具名</t>
        </is>
      </c>
      <c r="L19" s="4" t="inlineStr">
        <is>
          <t>無錫五星 Wuxing、Promax（含斷電把手）</t>
        </is>
      </c>
      <c r="M19" s="15" t="inlineStr">
        <is>
          <t>需對帳</t>
        </is>
      </c>
      <c r="N19" s="4" t="inlineStr">
        <is>
          <t>分頁 1 極簡配置未單列此項，分頁 7 有列；出廠價模型以分頁 1 為準，本表獨立列出供對帳</t>
        </is>
      </c>
    </row>
    <row r="20">
      <c r="A20" s="9" t="n">
        <v>7</v>
      </c>
      <c r="B20" s="4" t="inlineStr">
        <is>
          <t>三電 B 方案增量</t>
        </is>
      </c>
      <c r="C20" s="10" t="inlineStr">
        <is>
          <t>6 軸 IMU</t>
        </is>
      </c>
      <c r="D20" s="4" t="inlineStr">
        <is>
          <t>判坡度與加速度，改善踏頻方案起步手感（B 方案）</t>
        </is>
      </c>
      <c r="E20" s="11" t="n">
        <v>1</v>
      </c>
      <c r="F20" s="12" t="n">
        <v>8</v>
      </c>
      <c r="G20" s="13">
        <f>E20*F20</f>
        <v>8.0</v>
      </c>
      <c r="H20" s="4" t="inlineStr">
        <is>
          <t>V4 分頁 7：RMB 8（僅 B 方案）</t>
        </is>
      </c>
      <c r="I20" s="4" t="inlineStr">
        <is>
          <t>—</t>
        </is>
      </c>
      <c r="J20" s="4" t="inlineStr">
        <is>
          <t>V4 分頁 7</t>
        </is>
      </c>
      <c r="K20" s="4" t="inlineStr">
        <is>
          <t>未具名</t>
        </is>
      </c>
      <c r="L20" s="4" t="inlineStr">
        <is>
          <t>TDK InvenSense、Bosch Sensortec、ST</t>
        </is>
      </c>
      <c r="M20" s="15" t="inlineStr">
        <is>
          <t>估值</t>
        </is>
      </c>
      <c r="N20" s="4" t="inlineStr">
        <is>
          <t>全球版建議走 B 方案（V4 分頁 7 E 段）</t>
        </is>
      </c>
    </row>
    <row r="21">
      <c r="C21" s="10" t="inlineStr">
        <is>
          <t>B 方案增量小計</t>
        </is>
      </c>
      <c r="G21" s="17">
        <f>SUM(G19:G20)</f>
        <v>20.0</v>
      </c>
    </row>
    <row r="23">
      <c r="A23" s="7" t="inlineStr">
        <is>
          <t>2. 電池與充電器 ── 訂閱資產，不計入出廠價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9" t="n">
        <v>8</v>
      </c>
      <c r="B24" s="4" t="inlineStr">
        <is>
          <t>電池</t>
        </is>
      </c>
      <c r="C24" s="10" t="inlineStr">
        <is>
          <t>電芯（180Wh 標準）</t>
        </is>
      </c>
      <c r="D24" s="4" t="inlineStr">
        <is>
          <t>10s1p 21700 5Ah（10 顆）；252Wh 為 10s2p 18650 3.5Ah（20 顆）；360Wh 為 10s2p 21700 5Ah</t>
        </is>
      </c>
      <c r="E24" s="11" t="n">
        <v>180</v>
      </c>
      <c r="F24" s="13">
        <f>F7</f>
        <v>0.66</v>
      </c>
      <c r="G24" s="13">
        <f>E24*F24</f>
        <v>118.80000000000001</v>
      </c>
      <c r="H24" s="4" t="inlineStr">
        <is>
          <t>21700 量產 RMB 610–720/kWh；DMEGC 50E US$1.80–1.90 @MOQ100；Alibaba 客製包 Samsung 50S US$1.45–2.20／顆（≈US$0.08–0.12/Wh）；中系 50E 級小批 US$1.98–3.50／顆；BNEF 2025 車用電芯均價 US$79/kWh（對照）</t>
        </is>
      </c>
      <c r="I24" s="4" t="inlineStr">
        <is>
          <t>MOQ100（DMEGC）；量產 kWh 報價</t>
        </is>
      </c>
      <c r="J24" s="4" t="inlineStr">
        <is>
          <t>V4 分頁 1；BOM 報告附錄 B（Alibaba、BNEF）；盡調報告第四節</t>
        </is>
      </c>
      <c r="K24" s="4" t="inlineStr">
        <is>
          <t>DMEGC 橫店東磁（50E）；Samsung SDI（50E／50S）</t>
        </is>
      </c>
      <c r="L24" s="4" t="inlineStr">
        <is>
          <t>EVE 億緯、BAK 比克、Lishen 力神；達宇既有電芯供應商（達方捷克廠現用電芯）</t>
        </is>
      </c>
      <c r="M24" s="14" t="inlineStr">
        <is>
          <t>掛牌價／公開均價</t>
        </is>
      </c>
      <c r="N24" s="4" t="inlineStr">
        <is>
          <t>數量欄為 Wh；單價為 RMB/Wh。日本版 144Wh 為 10s1p 21700 4.0Ah</t>
        </is>
      </c>
    </row>
    <row r="25">
      <c r="A25" s="9" t="n">
        <v>9</v>
      </c>
      <c r="B25" s="4" t="inlineStr">
        <is>
          <t>電池</t>
        </is>
      </c>
      <c r="C25" s="10" t="inlineStr">
        <is>
          <t>電池包固定成本（BMS、外殼／軌道／鎖、連接器／鎳片／點焊／測試）</t>
        </is>
      </c>
      <c r="D25" s="4" t="inlineStr">
        <is>
          <t>10s BMS 含均衡、BLE SoH 回報、電池護照資料；ABS 殼；下管滑軌 + 鑰匙鎖；防呆放電連接器</t>
        </is>
      </c>
      <c r="E25" s="11" t="n">
        <v>1</v>
      </c>
      <c r="F25" s="12" t="n">
        <v>120</v>
      </c>
      <c r="G25" s="13">
        <f>E25*F25</f>
        <v>120.0</v>
      </c>
      <c r="H25" s="4" t="inlineStr">
        <is>
          <t>V4 分頁 1 B11：BMS 11–18 + 外殼／軌道／鎖 28–49 + 連接器／鎳片／點焊／測試 14–28；不隨容量縮小</t>
        </is>
      </c>
      <c r="I25" s="4" t="inlineStr">
        <is>
          <t>—</t>
        </is>
      </c>
      <c r="J25" s="4" t="inlineStr">
        <is>
          <t>V4 分頁 1</t>
        </is>
      </c>
      <c r="K25" s="4" t="inlineStr">
        <is>
          <t>未具名</t>
        </is>
      </c>
      <c r="L25" s="4" t="inlineStr">
        <is>
          <t>BMS：達方自製（含護照資料）或中系 BMS 廠；殼與軌道：模具件（達宇／蘇州）</t>
        </is>
      </c>
      <c r="M25" s="15" t="inlineStr">
        <is>
          <t>需對帳</t>
        </is>
      </c>
      <c r="N25" s="4" t="inlineStr">
        <is>
          <t>分項上限合計 95，與 120 差 25 未說明；電芯級可換（電芯座 + 彈簧接點）另 +RMB 20（V3 補充模型假設）</t>
        </is>
      </c>
    </row>
    <row r="26">
      <c r="C26" s="10" t="inlineStr">
        <is>
          <t>電池包 FOB（180Wh）= (電芯 + 固定成本) × (1 + 加工毛利)</t>
        </is>
      </c>
      <c r="G26" s="16">
        <f>(G24+G25)*(1+F8)</f>
        <v>281.784</v>
      </c>
      <c r="H26" s="4" t="inlineStr">
        <is>
          <t>V4 分頁 1 D17 = 281.8；本表公式對帳</t>
        </is>
      </c>
      <c r="L26" s="4" t="inlineStr">
        <is>
          <t>電池包組裝：達宇（Darfon Energy）／蘇州；歐洲落地可用達方捷克廠（年產 30 萬組，Bike Europe 2023/12）</t>
        </is>
      </c>
      <c r="M26" s="9" t="inlineStr">
        <is>
          <t>公式</t>
        </is>
      </c>
    </row>
    <row r="27">
      <c r="C27" s="4" t="inlineStr">
        <is>
          <t>電池包 FOB（252Wh，參考）</t>
        </is>
      </c>
      <c r="D27" s="4" t="inlineStr">
        <is>
          <t>10s2p 18650 3.5Ah</t>
        </is>
      </c>
      <c r="G27" s="13">
        <f>(252*F7+G25)*(1+F8)</f>
        <v>337.85760000000005</v>
      </c>
      <c r="H27" s="4" t="inlineStr">
        <is>
          <t>同上成本函數</t>
        </is>
      </c>
      <c r="M27" s="9" t="inlineStr">
        <is>
          <t>公式</t>
        </is>
      </c>
    </row>
    <row r="28">
      <c r="C28" s="4" t="inlineStr">
        <is>
          <t>電池包 FOB（360Wh，參考）</t>
        </is>
      </c>
      <c r="D28" s="4" t="inlineStr">
        <is>
          <t>10s2p 21700 5Ah</t>
        </is>
      </c>
      <c r="G28" s="13">
        <f>(360*F7+G25)*(1+F8)</f>
        <v>421.968</v>
      </c>
      <c r="H28" s="4" t="inlineStr">
        <is>
          <t>同上成本函數</t>
        </is>
      </c>
      <c r="M28" s="9" t="inlineStr">
        <is>
          <t>公式</t>
        </is>
      </c>
    </row>
    <row r="29">
      <c r="A29" s="7" t="inlineStr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9" t="n">
        <v>10</v>
      </c>
      <c r="B30" s="4" t="inlineStr">
        <is>
          <t>電池</t>
        </is>
      </c>
      <c r="C30" s="10" t="inlineStr">
        <is>
          <t>充電器 36V 2A</t>
        </is>
      </c>
      <c r="D30" s="4" t="inlineStr">
        <is>
          <t>全電壓、CE／GS；日本版為 ◇PSE 特定電気用品</t>
        </is>
      </c>
      <c r="E30" s="11" t="n">
        <v>1</v>
      </c>
      <c r="F30" s="12" t="n">
        <v>40</v>
      </c>
      <c r="G30" s="13">
        <f>E30*F30</f>
        <v>40.0</v>
      </c>
      <c r="H30" s="4" t="inlineStr">
        <is>
          <t>V4 分頁 1：RMB 40（CE/GS）；BOM 報告附錄 B：Alibaba 42V 2A 充電器批發 US$6.5–11；BESV 錨點 36V 2A 全電壓充電器 NT$532、電源板 B240-003 NT$978（小量）</t>
        </is>
      </c>
      <c r="I30" s="4" t="inlineStr">
        <is>
          <t>—</t>
        </is>
      </c>
      <c r="J30" s="4" t="inlineStr">
        <is>
          <t>V4 分頁 1；BOM 報告附錄 A、B</t>
        </is>
      </c>
      <c r="K30" s="4" t="inlineStr">
        <is>
          <t>未具名</t>
        </is>
      </c>
      <c r="L30" s="4" t="inlineStr">
        <is>
          <t>中系充電器廠（深圳／東莞）；日本 ◇PSE 需登録検査機関 + 海外工廠檢查（費用數百萬円，V4 分頁 13）</t>
        </is>
      </c>
      <c r="M30" s="14" t="inlineStr">
        <is>
          <t>掛牌價／內部錨點</t>
        </is>
      </c>
      <c r="N30" s="4" t="inlineStr">
        <is>
          <t>隨訂閱提供，不含在車價內</t>
        </is>
      </c>
    </row>
    <row r="31">
      <c r="C31" s="10" t="inlineStr">
        <is>
          <t>電池 + 充電器小計（180Wh，訂閱資產）</t>
        </is>
      </c>
      <c r="G31" s="16">
        <f>G26+G30</f>
        <v>321.784</v>
      </c>
    </row>
    <row r="33">
      <c r="A33" s="7" t="inlineStr">
        <is>
          <t>3. 車體 ── 計入出廠價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9" t="n">
        <v>11</v>
      </c>
      <c r="B34" s="4" t="inlineStr">
        <is>
          <t>車體</t>
        </is>
      </c>
      <c r="C34" s="10" t="inlineStr">
        <is>
          <t>車架 + 前叉（含塗裝）</t>
        </is>
      </c>
      <c r="D34" s="4" t="inlineStr">
        <is>
          <t>極簡配置取高拉力鋼公版；135mm 開檔、無內走線孔；鋁架為 +RMB 110 選項</t>
        </is>
      </c>
      <c r="E34" s="11" t="n">
        <v>1</v>
      </c>
      <c r="F34" s="12" t="n">
        <v>100</v>
      </c>
      <c r="G34" s="13">
        <f>E34*F34</f>
        <v>100.0</v>
      </c>
      <c r="H34" s="4" t="inlineStr">
        <is>
          <t>6061 鋁 US$25 @500 pc／US$40 @100 pc；高拉力鋼中國內銷 RMB 150–400；極簡配置取 RMB 100（鋼）</t>
        </is>
      </c>
      <c r="I34" s="4" t="inlineStr">
        <is>
          <t>100–500 pc</t>
        </is>
      </c>
      <c r="J34" s="4" t="inlineStr">
        <is>
          <t>V4 分頁 1、分頁 2</t>
        </is>
      </c>
      <c r="K34" s="4" t="inlineStr">
        <is>
          <t>未具名</t>
        </is>
      </c>
      <c r="L34" s="4" t="inlineStr">
        <is>
          <t>台灣／越南既有 EN 15194 認證車架廠（世同、太宇現有供應鏈）；天津車架廠；日本載童版須通過幼児二人同乗基準之公版</t>
        </is>
      </c>
      <c r="M34" s="14" t="inlineStr">
        <is>
          <t>掛牌價</t>
        </is>
      </c>
      <c r="N34" s="4" t="inlineStr">
        <is>
          <t>鋼比鋁重 1.2–1.5 kg；金屬 +40%、塑料 +80% 為 2026/4 漲價主因（V4 分頁 3）</t>
        </is>
      </c>
    </row>
    <row r="35">
      <c r="A35" s="9" t="n">
        <v>12</v>
      </c>
      <c r="B35" s="4" t="inlineStr">
        <is>
          <t>車體</t>
        </is>
      </c>
      <c r="C35" s="10" t="inlineStr">
        <is>
          <t>前輪組（圈／輻／轂／編輪）</t>
        </is>
      </c>
      <c r="D35" s="4" t="inlineStr">
        <is>
          <t>24 吋鋁合金成輪；平地版 26 吋或 700c</t>
        </is>
      </c>
      <c r="E35" s="11" t="n">
        <v>1</v>
      </c>
      <c r="F35" s="12" t="n">
        <v>70</v>
      </c>
      <c r="G35" s="13">
        <f>E35*F35</f>
        <v>70.0</v>
      </c>
      <c r="H35" s="4" t="inlineStr">
        <is>
          <t>24 吋鋁合金成輪 US$10–15 @500 pc</t>
        </is>
      </c>
      <c r="I35" s="4" t="inlineStr">
        <is>
          <t>500 pc</t>
        </is>
      </c>
      <c r="J35" s="4" t="inlineStr">
        <is>
          <t>V4 分頁 1</t>
        </is>
      </c>
      <c r="K35" s="4" t="inlineStr">
        <is>
          <t>未具名</t>
        </is>
      </c>
      <c r="L35" s="4" t="inlineStr">
        <is>
          <t>中系成輪廠；Alex Rims（台灣，升級選項）</t>
        </is>
      </c>
      <c r="M35" s="14" t="inlineStr">
        <is>
          <t>掛牌價</t>
        </is>
      </c>
      <c r="N35" s="4" t="inlineStr"/>
    </row>
    <row r="36">
      <c r="A36" s="9" t="n">
        <v>13</v>
      </c>
      <c r="B36" s="4" t="inlineStr">
        <is>
          <t>車體</t>
        </is>
      </c>
      <c r="C36" s="10" t="inlineStr">
        <is>
          <t>後輪編輪工資</t>
        </is>
      </c>
      <c r="D36" s="4" t="inlineStr">
        <is>
          <t>後輪圈 + 輻條編於馬達花鼓（馬達另計）</t>
        </is>
      </c>
      <c r="E36" s="11" t="n">
        <v>1</v>
      </c>
      <c r="F36" s="12" t="n">
        <v>40</v>
      </c>
      <c r="G36" s="13">
        <f>E36*F36</f>
        <v>40.0</v>
      </c>
      <c r="H36" s="4" t="inlineStr">
        <is>
          <t>V4 分頁 1：RMB 40</t>
        </is>
      </c>
      <c r="I36" s="4" t="inlineStr">
        <is>
          <t>—</t>
        </is>
      </c>
      <c r="J36" s="4" t="inlineStr">
        <is>
          <t>V4 分頁 1</t>
        </is>
      </c>
      <c r="K36" s="4" t="inlineStr">
        <is>
          <t>—</t>
        </is>
      </c>
      <c r="L36" s="4" t="inlineStr">
        <is>
          <t>整車 ODM（世同／蘇州）自編</t>
        </is>
      </c>
      <c r="M36" s="15" t="inlineStr">
        <is>
          <t>估值</t>
        </is>
      </c>
      <c r="N36" s="4" t="inlineStr"/>
    </row>
    <row r="37">
      <c r="A37" s="9" t="n">
        <v>14</v>
      </c>
      <c r="B37" s="4" t="inlineStr">
        <is>
          <t>車體</t>
        </is>
      </c>
      <c r="C37" s="10" t="inlineStr">
        <is>
          <t>煞車（前後全套）</t>
        </is>
      </c>
      <c r="D37" s="4" t="inlineStr">
        <is>
          <t>V 煞前後含把手；機械碟版另加 US$7–12 + 碟煞花鼓／座 RMB 15–25</t>
        </is>
      </c>
      <c r="E37" s="11" t="n">
        <v>1</v>
      </c>
      <c r="F37" s="12" t="n">
        <v>30</v>
      </c>
      <c r="G37" s="13">
        <f>E37*F37</f>
        <v>30.0</v>
      </c>
      <c r="H37" s="4" t="inlineStr">
        <is>
          <t>V 煞 US$3–5；機械碟 US$7–12 + 碟煞花鼓／座 RMB 15–25</t>
        </is>
      </c>
      <c r="I37" s="4" t="inlineStr">
        <is>
          <t>—</t>
        </is>
      </c>
      <c r="J37" s="4" t="inlineStr">
        <is>
          <t>V4 分頁 1、分頁 2</t>
        </is>
      </c>
      <c r="K37" s="4" t="inlineStr">
        <is>
          <t>未具名</t>
        </is>
      </c>
      <c r="L37" s="4" t="inlineStr">
        <is>
          <t>Tektro 彥豪、Promax、Alhonga</t>
        </is>
      </c>
      <c r="M37" s="14" t="inlineStr">
        <is>
          <t>掛牌價</t>
        </is>
      </c>
      <c r="N37" s="4" t="inlineStr">
        <is>
          <t>載童版後碟 +RMB 54（V4 分頁 2）</t>
        </is>
      </c>
    </row>
    <row r="38">
      <c r="A38" s="9" t="n">
        <v>15</v>
      </c>
      <c r="B38" s="4" t="inlineStr">
        <is>
          <t>車體</t>
        </is>
      </c>
      <c r="C38" s="10" t="inlineStr">
        <is>
          <t>輪胎 ×2 + 內胎 ×2</t>
        </is>
      </c>
      <c r="D38" s="4" t="inlineStr">
        <is>
          <t>26 吋城市防刺胎</t>
        </is>
      </c>
      <c r="E38" s="11" t="n">
        <v>1</v>
      </c>
      <c r="F38" s="12" t="n">
        <v>32</v>
      </c>
      <c r="G38" s="13">
        <f>E38*F38</f>
        <v>32.0</v>
      </c>
      <c r="H38" s="4" t="inlineStr">
        <is>
          <t>26 吋胎 US$0.95–1.85 @500 pc</t>
        </is>
      </c>
      <c r="I38" s="4" t="inlineStr">
        <is>
          <t>500 pc</t>
        </is>
      </c>
      <c r="J38" s="4" t="inlineStr">
        <is>
          <t>V4 分頁 1</t>
        </is>
      </c>
      <c r="K38" s="4" t="inlineStr">
        <is>
          <t>未具名</t>
        </is>
      </c>
      <c r="L38" s="4" t="inlineStr">
        <is>
          <t>朝陽 Chaoyang、建大 Kenda、正新 CST</t>
        </is>
      </c>
      <c r="M38" s="14" t="inlineStr">
        <is>
          <t>掛牌價</t>
        </is>
      </c>
      <c r="N38" s="4" t="inlineStr"/>
    </row>
    <row r="39">
      <c r="A39" s="9" t="n">
        <v>16</v>
      </c>
      <c r="B39" s="4" t="inlineStr">
        <is>
          <t>車體</t>
        </is>
      </c>
      <c r="C39" s="10" t="inlineStr">
        <is>
          <t>曲柄／中軸／踏板</t>
        </is>
      </c>
      <c r="D39" s="4" t="inlineStr">
        <is>
          <t>44T 曲柄組（載童版 42T）、方孔 BB、踏板</t>
        </is>
      </c>
      <c r="E39" s="11" t="n">
        <v>1</v>
      </c>
      <c r="F39" s="12" t="n">
        <v>45</v>
      </c>
      <c r="G39" s="13">
        <f>E39*F39</f>
        <v>45.0</v>
      </c>
      <c r="H39" s="4" t="inlineStr">
        <is>
          <t>曲柄 US$2.56–6.34 @200 pc、中軸 US$0.75–1 @100 pc</t>
        </is>
      </c>
      <c r="I39" s="4" t="inlineStr">
        <is>
          <t>100–200 pc</t>
        </is>
      </c>
      <c r="J39" s="4" t="inlineStr">
        <is>
          <t>V4 分頁 1</t>
        </is>
      </c>
      <c r="K39" s="4" t="inlineStr">
        <is>
          <t>未具名</t>
        </is>
      </c>
      <c r="L39" s="4" t="inlineStr">
        <is>
          <t>Prowheel、Lasco 華祥；VP 踏板</t>
        </is>
      </c>
      <c r="M39" s="14" t="inlineStr">
        <is>
          <t>掛牌價</t>
        </is>
      </c>
      <c r="N39" s="4" t="inlineStr">
        <is>
          <t>日本版扭力中軸取代標準中軸（−RMB 7）</t>
        </is>
      </c>
    </row>
    <row r="40">
      <c r="A40" s="9" t="n">
        <v>17</v>
      </c>
      <c r="B40" s="4" t="inlineStr">
        <is>
          <t>車體</t>
        </is>
      </c>
      <c r="C40" s="10" t="inlineStr">
        <is>
          <t>單速鏈條 + 16T 飛輪</t>
        </is>
      </c>
      <c r="D40" s="4" t="inlineStr">
        <is>
          <t>單速鏈條、螺紋單速飛輪（載童版 18T）</t>
        </is>
      </c>
      <c r="E40" s="11" t="n">
        <v>1</v>
      </c>
      <c r="F40" s="12" t="n">
        <v>16</v>
      </c>
      <c r="G40" s="13">
        <f>E40*F40</f>
        <v>16.0</v>
      </c>
      <c r="H40" s="4" t="inlineStr">
        <is>
          <t>單速鏈條 + 飛輪 US$1.7–3；對照 Tourney 後撥 + 指撥 + 飛輪 + 線 RMB 78–113</t>
        </is>
      </c>
      <c r="I40" s="4" t="inlineStr">
        <is>
          <t>—</t>
        </is>
      </c>
      <c r="J40" s="4" t="inlineStr">
        <is>
          <t>V4 分頁 1、分頁 2</t>
        </is>
      </c>
      <c r="K40" s="4" t="inlineStr">
        <is>
          <t>Shimano Tourney（對照，不採用）</t>
        </is>
      </c>
      <c r="L40" s="4" t="inlineStr">
        <is>
          <t>KMC 桂盟（鏈條）、DNP（飛輪）</t>
        </is>
      </c>
      <c r="M40" s="14" t="inlineStr">
        <is>
          <t>掛牌價</t>
        </is>
      </c>
      <c r="N40" s="4" t="inlineStr"/>
    </row>
    <row r="41">
      <c r="A41" s="9" t="n">
        <v>18</v>
      </c>
      <c r="B41" s="4" t="inlineStr">
        <is>
          <t>車體</t>
        </is>
      </c>
      <c r="C41" s="10" t="inlineStr">
        <is>
          <t>把手／龍頭／座管／坐墊／握把</t>
        </is>
      </c>
      <c r="D41" s="4" t="inlineStr">
        <is>
          <t>公版座艙</t>
        </is>
      </c>
      <c r="E41" s="11" t="n">
        <v>1</v>
      </c>
      <c r="F41" s="12" t="n">
        <v>55</v>
      </c>
      <c r="G41" s="13">
        <f>E41*F41</f>
        <v>55.0</v>
      </c>
      <c r="H41" s="4" t="inlineStr">
        <is>
          <t>坐墊 US$1.25–1.36 @100 pc；其餘估值</t>
        </is>
      </c>
      <c r="I41" s="4" t="inlineStr">
        <is>
          <t>100 pc</t>
        </is>
      </c>
      <c r="J41" s="4" t="inlineStr">
        <is>
          <t>V4 分頁 1</t>
        </is>
      </c>
      <c r="K41" s="4" t="inlineStr">
        <is>
          <t>未具名</t>
        </is>
      </c>
      <c r="L41" s="4" t="inlineStr">
        <is>
          <t>中系；Velo 維樂（升級）</t>
        </is>
      </c>
      <c r="M41" s="14" t="inlineStr">
        <is>
          <t>掛牌價／估值</t>
        </is>
      </c>
      <c r="N41" s="4" t="inlineStr"/>
    </row>
    <row r="42">
      <c r="A42" s="9" t="n">
        <v>19</v>
      </c>
      <c r="B42" s="4" t="inlineStr">
        <is>
          <t>車體</t>
        </is>
      </c>
      <c r="C42" s="10" t="inlineStr">
        <is>
          <t>擋泥板／腳撐／車燈／反光／鈴</t>
        </is>
      </c>
      <c r="D42" s="4" t="inlineStr">
        <is>
          <t>LED 前後燈由控制器供電</t>
        </is>
      </c>
      <c r="E42" s="11" t="n">
        <v>1</v>
      </c>
      <c r="F42" s="12" t="n">
        <v>40</v>
      </c>
      <c r="G42" s="13">
        <f>E42*F42</f>
        <v>40.0</v>
      </c>
      <c r="H42" s="4" t="inlineStr">
        <is>
          <t>LED 車燈 US$1.2–1.7 @500 pc；其餘估值</t>
        </is>
      </c>
      <c r="I42" s="4" t="inlineStr">
        <is>
          <t>500 pc</t>
        </is>
      </c>
      <c r="J42" s="4" t="inlineStr">
        <is>
          <t>V4 分頁 1</t>
        </is>
      </c>
      <c r="K42" s="4" t="inlineStr">
        <is>
          <t>未具名</t>
        </is>
      </c>
      <c r="L42" s="4" t="inlineStr">
        <is>
          <t>中系；Spanninga（升級）</t>
        </is>
      </c>
      <c r="M42" s="14" t="inlineStr">
        <is>
          <t>掛牌價／估值</t>
        </is>
      </c>
      <c r="N42" s="4" t="inlineStr">
        <is>
          <t>日本載童版另加両立スタンド、前籃、全鏈罩、把手鎖（+RMB 30，V3 補充模型假設）</t>
        </is>
      </c>
    </row>
    <row r="43">
      <c r="A43" s="9" t="n">
        <v>20</v>
      </c>
      <c r="B43" s="4" t="inlineStr">
        <is>
          <t>車體</t>
        </is>
      </c>
      <c r="C43" s="10" t="inlineStr">
        <is>
          <t>五金／束帶／小件</t>
        </is>
      </c>
      <c r="D43" s="4" t="inlineStr"/>
      <c r="E43" s="11" t="n">
        <v>1</v>
      </c>
      <c r="F43" s="12" t="n">
        <v>25</v>
      </c>
      <c r="G43" s="13">
        <f>E43*F43</f>
        <v>25.0</v>
      </c>
      <c r="H43" s="4" t="inlineStr">
        <is>
          <t>V4 分頁 1：RMB 25</t>
        </is>
      </c>
      <c r="I43" s="4" t="inlineStr">
        <is>
          <t>—</t>
        </is>
      </c>
      <c r="J43" s="4" t="inlineStr">
        <is>
          <t>V4 分頁 1</t>
        </is>
      </c>
      <c r="K43" s="4" t="inlineStr">
        <is>
          <t>—</t>
        </is>
      </c>
      <c r="L43" s="4" t="inlineStr">
        <is>
          <t>整車 ODM 自備</t>
        </is>
      </c>
      <c r="M43" s="15" t="inlineStr">
        <is>
          <t>估值</t>
        </is>
      </c>
      <c r="N43" s="4" t="inlineStr"/>
    </row>
    <row r="44">
      <c r="A44" s="9" t="n">
        <v>21</v>
      </c>
      <c r="B44" s="4" t="inlineStr">
        <is>
          <t>車體</t>
        </is>
      </c>
      <c r="C44" s="10" t="inlineStr">
        <is>
          <t>包裝</t>
        </is>
      </c>
      <c r="D44" s="4" t="inlineStr">
        <is>
          <t>紙箱／EPE／護角／零件盒／說明書；SKD 85%</t>
        </is>
      </c>
      <c r="E44" s="11" t="n">
        <v>1</v>
      </c>
      <c r="F44" s="12" t="n">
        <v>26</v>
      </c>
      <c r="G44" s="13">
        <f>E44*F44</f>
        <v>26.0</v>
      </c>
      <c r="H44" s="4" t="inlineStr">
        <is>
          <t>V4 分頁 1：RMB 26</t>
        </is>
      </c>
      <c r="I44" s="4" t="inlineStr">
        <is>
          <t>—</t>
        </is>
      </c>
      <c r="J44" s="4" t="inlineStr">
        <is>
          <t>V4 分頁 1</t>
        </is>
      </c>
      <c r="K44" s="4" t="inlineStr">
        <is>
          <t>—</t>
        </is>
      </c>
      <c r="L44" s="4" t="inlineStr">
        <is>
          <t>整車 ODM 自備</t>
        </is>
      </c>
      <c r="M44" s="15" t="inlineStr">
        <is>
          <t>估值</t>
        </is>
      </c>
      <c r="N44" s="4" t="inlineStr"/>
    </row>
    <row r="45">
      <c r="C45" s="10" t="inlineStr">
        <is>
          <t>車體小計</t>
        </is>
      </c>
      <c r="G45" s="16">
        <f>SUM(G34:G44)</f>
        <v>479.0</v>
      </c>
    </row>
    <row r="47">
      <c r="A47" s="7" t="inlineStr">
        <is>
          <t>4. 彙總與出廠價（對帳 V4 分頁 1／3）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C48" s="10" t="inlineStr">
        <is>
          <t>材料合計：V4 極簡 180Wh 配置（三電 + 電池 + 充電器 + 車體）</t>
        </is>
      </c>
      <c r="G48" s="17">
        <f>G16+G31+G45</f>
        <v>1120.784</v>
      </c>
      <c r="H48" s="4" t="inlineStr">
        <is>
          <t>應 = V4 分頁 1 C43 = 1,121</t>
        </is>
      </c>
      <c r="M48" s="14" t="str">
        <f>IF(ABS(G48-1121)&lt;1,"對帳一致","差異 "&amp;TEXT(G48-1121,"0.0"))</f>
        <v>對帳一致</v>
      </c>
    </row>
    <row r="49">
      <c r="C49" s="10" t="inlineStr">
        <is>
          <t>材料合計：配置 C（不含電池、充電器）</t>
        </is>
      </c>
      <c r="G49" s="17">
        <f>G16+G45</f>
        <v>799.0</v>
      </c>
      <c r="H49" s="4" t="inlineStr">
        <is>
          <t>V3 補充模型入手價表 B8 = 799.2</t>
        </is>
      </c>
      <c r="M49" s="9" t="inlineStr">
        <is>
          <t>公式</t>
        </is>
      </c>
    </row>
    <row r="50">
      <c r="C50" s="4" t="inlineStr">
        <is>
          <t>直接組裝工時 + QC</t>
        </is>
      </c>
      <c r="G50" s="12" t="n">
        <v>22</v>
      </c>
      <c r="H50" s="4" t="inlineStr">
        <is>
          <t>V4 分頁 1 B8：中國自有廠人工 RMB 24.8/hr × 30–40 分鐘 + 檢測</t>
        </is>
      </c>
      <c r="M50" s="15" t="inlineStr">
        <is>
          <t>估值</t>
        </is>
      </c>
    </row>
    <row r="51">
      <c r="C51" s="4" t="inlineStr">
        <is>
          <t>ODM 毛利率（爭取值）</t>
        </is>
      </c>
      <c r="G51" s="6" t="n">
        <v>0.13</v>
      </c>
      <c r="H51" s="4" t="inlineStr">
        <is>
          <t>V4 分頁 1 B9：富士達 FY2025 電助力車事業 18.94%、一般自行車 10.79%</t>
        </is>
      </c>
      <c r="M51" s="9" t="inlineStr">
        <is>
          <t>假設</t>
        </is>
      </c>
    </row>
    <row r="52">
      <c r="C52" s="10" t="inlineStr">
        <is>
          <t>出廠價：配置 A（含電池，RMB）</t>
        </is>
      </c>
      <c r="G52" s="17">
        <f>(G48+G50)/(1-G51)</f>
        <v>1313.544827586207</v>
      </c>
      <c r="H52" s="4" t="inlineStr">
        <is>
          <t>應 = V4 分頁 3 C6 = 1,314</t>
        </is>
      </c>
    </row>
    <row r="53">
      <c r="C53" s="10" t="inlineStr">
        <is>
          <t>出廠價：配置 C（不含電池、充電器，RMB）</t>
        </is>
      </c>
      <c r="G53" s="16">
        <f>(G49+G50)/(1-G51)</f>
        <v>943.6781609195402</v>
      </c>
      <c r="H53" s="4" t="inlineStr">
        <is>
          <t>應 = V3 補充模型入手價表 C8 = 944</t>
        </is>
      </c>
    </row>
    <row r="54">
      <c r="C54" s="4" t="inlineStr">
        <is>
          <t>出廠價：配置 C（NT$）</t>
        </is>
      </c>
      <c r="G54" s="18">
        <f>G53*F6</f>
        <v>4284.298850574713</v>
      </c>
    </row>
    <row r="55">
      <c r="C55" s="4" t="inlineStr">
        <is>
          <t>出廠價：配置 C（USD）</t>
        </is>
      </c>
      <c r="G55" s="13">
        <f>G53/F5</f>
        <v>133.8550582864596</v>
      </c>
    </row>
    <row r="57">
      <c r="A57" s="7" t="inlineStr">
        <is>
          <t>5. 日本平地版增量（V4 分頁 7 C 方案）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A58" s="9" t="n">
        <v>22</v>
      </c>
      <c r="B58" s="4" t="inlineStr">
        <is>
          <t>日本版增量</t>
        </is>
      </c>
      <c r="C58" s="10" t="inlineStr">
        <is>
          <t>中軸扭力感測器 0–80 N·m IP66</t>
        </is>
      </c>
      <c r="D58" s="4" t="inlineStr">
        <is>
          <t>取代標準中軸；日本 2:1 助力比法規必要；含 700–900mm 線束與 EOL 零點校正</t>
        </is>
      </c>
      <c r="E58" s="11" t="n">
        <v>1</v>
      </c>
      <c r="F58" s="12" t="n">
        <v>160</v>
      </c>
      <c r="G58" s="13">
        <f>E58*F58</f>
        <v>160.0</v>
      </c>
      <c r="H58" s="4" t="inlineStr">
        <is>
          <t>中系力矩中軸 US$28–30 @MOQ100（多筆一致）；NCTE／Thun 型售後 US$150–160；TDCM 力矩感測飛輪體零售 US$115／量產估 US$25–45；BESV 錨點 Thun 扭力感測器含 Higo 線 NT$4,576、SR PA01.32 NT$2,270、TS0003 12P NT$1,800（小量）；V4 分頁 7 淨增額 = 160 − 7（扣標準中軸）+ 14（線束）+ 3（校正）− 10（PAS）= 160</t>
        </is>
      </c>
      <c r="I58" s="4" t="inlineStr">
        <is>
          <t>MOQ100</t>
        </is>
      </c>
      <c r="J58" s="4" t="inlineStr">
        <is>
          <t>V4 分頁 7；盡調報告第四節；BOM 報告附錄 A、B</t>
        </is>
      </c>
      <c r="K58" s="4" t="inlineStr">
        <is>
          <t>NCTE、Thun、TDCM、SR（PA01.32）、TS0003（BESV 料號）</t>
        </is>
      </c>
      <c r="L58" s="4" t="inlineStr">
        <is>
          <t>森浦 Sempu（中系 BB 扭力，量產主力候選）、TDCM（台灣）、NCTE（高階對照）</t>
        </is>
      </c>
      <c r="M58" s="14" t="inlineStr">
        <is>
          <t>掛牌價／內部錨點</t>
        </is>
      </c>
      <c r="N58" s="4" t="inlineStr">
        <is>
          <t>全 BOM 中價格最不透明項之一，須書面報價</t>
        </is>
      </c>
    </row>
    <row r="59">
      <c r="A59" s="9" t="n">
        <v>23</v>
      </c>
      <c r="B59" s="4" t="inlineStr">
        <is>
          <t>日本版增量</t>
        </is>
      </c>
      <c r="C59" s="10" t="inlineStr">
        <is>
          <t>日本非 BOM 增額</t>
        </is>
      </c>
      <c r="D59" s="4" t="inlineStr">
        <is>
          <t>型式認定攤提、PSE 逐台檢查與 3 年紀錄、日文說明書／標示／認定番號、防篡改韌體簽章與 OTP</t>
        </is>
      </c>
      <c r="E59" s="11" t="n">
        <v>1</v>
      </c>
      <c r="F59" s="12" t="n">
        <v>7.3</v>
      </c>
      <c r="G59" s="13">
        <f>E59*F59</f>
        <v>7.3</v>
      </c>
      <c r="H59" s="4" t="inlineStr">
        <is>
          <t>V4 分頁 7 B40–B43：0.8 + 2.5 + 3 + 1；型式認定 ¥266,000–377,000／型（TMT 費率 2023/7/10 起）以 2 萬台攤提</t>
        </is>
      </c>
      <c r="I59" s="4" t="inlineStr">
        <is>
          <t>—</t>
        </is>
      </c>
      <c r="J59" s="4" t="inlineStr">
        <is>
          <t>V4 分頁 7、分頁 12</t>
        </is>
      </c>
      <c r="K59" s="4" t="inlineStr">
        <is>
          <t>TMT 日本交通管理技術協会（型式認定）；登録検査機関（◇PSE）</t>
        </is>
      </c>
      <c r="L59" s="4" t="inlineStr">
        <is>
          <t>BESV JAPAN 既有取證與 PSE 届出資格</t>
        </is>
      </c>
      <c r="M59" s="9" t="inlineStr">
        <is>
          <t>公告費率／估值</t>
        </is>
      </c>
      <c r="N59" s="4" t="inlineStr"/>
    </row>
    <row r="60">
      <c r="C60" s="10" t="inlineStr">
        <is>
          <t>日本平地版增量小計</t>
        </is>
      </c>
      <c r="G60" s="17">
        <f>SUM(G58:G59)</f>
        <v>167.3</v>
      </c>
    </row>
    <row r="62">
      <c r="A62" s="7" t="inlineStr">
        <is>
          <t>6. 坡地載童版增量（在日本平地版之上）</t>
        </is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9" t="n">
        <v>24</v>
      </c>
      <c r="B63" s="4" t="inlineStr">
        <is>
          <t>載童版增量</t>
        </is>
      </c>
      <c r="C63" s="10" t="inlineStr">
        <is>
          <t>馬達升級 40–45 N·m 級齒輪輪轂</t>
        </is>
      </c>
      <c r="D63" s="4" t="inlineStr">
        <is>
          <t>含溫度感測與降額；載童 125 kg 爬 10% 坡需 33 N·m（20 吋）</t>
        </is>
      </c>
      <c r="E63" s="11" t="n">
        <v>1</v>
      </c>
      <c r="F63" s="12" t="n">
        <v>80</v>
      </c>
      <c r="G63" s="13">
        <f>E63*F63</f>
        <v>80.0</v>
      </c>
      <c r="H63" s="4" t="inlineStr">
        <is>
          <t>V3 補充模型三變體表假設：商品化 45 N·m 級 RMB 280–300 vs 205</t>
        </is>
      </c>
      <c r="I63" s="4" t="inlineStr">
        <is>
          <t>—</t>
        </is>
      </c>
      <c r="J63" s="4" t="inlineStr">
        <is>
          <t>V3 補充模型（假設）</t>
        </is>
      </c>
      <c r="K63" s="4" t="inlineStr">
        <is>
          <t>Bafang G020／H400 級、Ananda M129 級（規格對照，未報價）</t>
        </is>
      </c>
      <c r="L63" s="4" t="inlineStr">
        <is>
          <t>Bafang、Ananda、Shengyi</t>
        </is>
      </c>
      <c r="M63" s="15" t="inlineStr">
        <is>
          <t>估值</t>
        </is>
      </c>
      <c r="N63" s="4" t="inlineStr">
        <is>
          <t>須與序 1 一併詢價</t>
        </is>
      </c>
    </row>
    <row r="64">
      <c r="A64" s="9" t="n">
        <v>25</v>
      </c>
      <c r="B64" s="4" t="inlineStr">
        <is>
          <t>載童版增量</t>
        </is>
      </c>
      <c r="C64" s="10" t="inlineStr">
        <is>
          <t>後機械碟煞（含碟煞花鼓／座）</t>
        </is>
      </c>
      <c r="D64" s="4" t="inlineStr">
        <is>
          <t>30 kg 整車 + 小孩下坡制動；前 V 煞</t>
        </is>
      </c>
      <c r="E64" s="11" t="n">
        <v>1</v>
      </c>
      <c r="F64" s="12" t="n">
        <v>54</v>
      </c>
      <c r="G64" s="13">
        <f>E64*F64</f>
        <v>54.0</v>
      </c>
      <c r="H64" s="4" t="inlineStr">
        <is>
          <t>V4 分頁 2：機械碟（含碟煞花鼓／座）vs V 煞差 RMB 54</t>
        </is>
      </c>
      <c r="I64" s="4" t="inlineStr">
        <is>
          <t>—</t>
        </is>
      </c>
      <c r="J64" s="4" t="inlineStr">
        <is>
          <t>V4 分頁 2</t>
        </is>
      </c>
      <c r="K64" s="4" t="inlineStr">
        <is>
          <t>未具名</t>
        </is>
      </c>
      <c r="L64" s="4" t="inlineStr">
        <is>
          <t>Tektro 彥豪、Promax</t>
        </is>
      </c>
      <c r="M64" s="14" t="inlineStr">
        <is>
          <t>掛牌價</t>
        </is>
      </c>
      <c r="N64" s="4" t="inlineStr"/>
    </row>
    <row r="65">
      <c r="A65" s="9" t="n">
        <v>26</v>
      </c>
      <c r="B65" s="4" t="inlineStr">
        <is>
          <t>載童版增量</t>
        </is>
      </c>
      <c r="C65" s="10" t="inlineStr">
        <is>
          <t>子乗せ車架強度、両立スタンド、把手鎖</t>
        </is>
      </c>
      <c r="D65" s="4" t="inlineStr">
        <is>
          <t>通過幼児二人同乗基準（BAA／SG）之公版車架</t>
        </is>
      </c>
      <c r="E65" s="11" t="n">
        <v>1</v>
      </c>
      <c r="F65" s="12" t="n">
        <v>90</v>
      </c>
      <c r="G65" s="13">
        <f>E65*F65</f>
        <v>90.0</v>
      </c>
      <c r="H65" s="4" t="inlineStr">
        <is>
          <t>V3 補充模型假設：車架 +60、支撐與配件 +30</t>
        </is>
      </c>
      <c r="I65" s="4" t="inlineStr">
        <is>
          <t>—</t>
        </is>
      </c>
      <c r="J65" s="4" t="inlineStr">
        <is>
          <t>V3 補充模型（假設）</t>
        </is>
      </c>
      <c r="K65" s="4" t="inlineStr">
        <is>
          <t>未具名</t>
        </is>
      </c>
      <c r="L65" s="4" t="inlineStr">
        <is>
          <t>日本 BAA 會員車廠之中國 OEM 車架廠；需確認基準測試報告</t>
        </is>
      </c>
      <c r="M65" s="15" t="inlineStr">
        <is>
          <t>估值</t>
        </is>
      </c>
      <c r="N65" s="4" t="inlineStr">
        <is>
          <t>認證單位為整車，須與型式認定同步</t>
        </is>
      </c>
    </row>
    <row r="66">
      <c r="A66" s="9" t="n">
        <v>27</v>
      </c>
      <c r="B66" s="4" t="inlineStr">
        <is>
          <t>載童版增量</t>
        </is>
      </c>
      <c r="C66" s="10" t="inlineStr">
        <is>
          <t>20 吋輪組差額</t>
        </is>
      </c>
      <c r="D66" s="4" t="inlineStr">
        <is>
          <t>20–24 吋輪組較 26 吋便宜</t>
        </is>
      </c>
      <c r="E66" s="11" t="n">
        <v>1</v>
      </c>
      <c r="F66" s="12" t="n">
        <v>-10</v>
      </c>
      <c r="G66" s="13">
        <f>E66*F66</f>
        <v>-10.0</v>
      </c>
      <c r="H66" s="4" t="inlineStr">
        <is>
          <t>V3 補充模型假設</t>
        </is>
      </c>
      <c r="I66" s="4" t="inlineStr">
        <is>
          <t>—</t>
        </is>
      </c>
      <c r="J66" s="4" t="inlineStr">
        <is>
          <t>V3 補充模型（假設）</t>
        </is>
      </c>
      <c r="K66" s="4" t="inlineStr">
        <is>
          <t>—</t>
        </is>
      </c>
      <c r="L66" s="4" t="inlineStr">
        <is>
          <t>同序 12</t>
        </is>
      </c>
      <c r="M66" s="15" t="inlineStr">
        <is>
          <t>估值</t>
        </is>
      </c>
      <c r="N66" s="4" t="inlineStr"/>
    </row>
    <row r="67">
      <c r="A67" s="9" t="n">
        <v>28</v>
      </c>
      <c r="B67" s="4" t="inlineStr">
        <is>
          <t>載童版增量</t>
        </is>
      </c>
      <c r="C67" s="10" t="inlineStr">
        <is>
          <t>型式認定 + 子乗せ檢測攤提</t>
        </is>
      </c>
      <c r="D67" s="4" t="inlineStr">
        <is>
          <t>¥2–3M ÷ 2 萬台</t>
        </is>
      </c>
      <c r="E67" s="11" t="n">
        <v>1</v>
      </c>
      <c r="F67" s="12" t="n">
        <v>8</v>
      </c>
      <c r="G67" s="13">
        <f>E67*F67</f>
        <v>8.0</v>
      </c>
      <c r="H67" s="4" t="inlineStr">
        <is>
          <t>V3 補充模型假設</t>
        </is>
      </c>
      <c r="I67" s="4" t="inlineStr">
        <is>
          <t>—</t>
        </is>
      </c>
      <c r="J67" s="4" t="inlineStr">
        <is>
          <t>V3 補充模型（假設）</t>
        </is>
      </c>
      <c r="K67" s="4" t="inlineStr">
        <is>
          <t>TMT</t>
        </is>
      </c>
      <c r="L67" s="4" t="inlineStr">
        <is>
          <t>BESV JAPAN</t>
        </is>
      </c>
      <c r="M67" s="15" t="inlineStr">
        <is>
          <t>估值</t>
        </is>
      </c>
      <c r="N67" s="4" t="inlineStr"/>
    </row>
    <row r="68">
      <c r="C68" s="10" t="inlineStr">
        <is>
          <t>載童版增量小計</t>
        </is>
      </c>
      <c r="G68" s="17">
        <f>SUM(G63:G67)</f>
        <v>222.0</v>
      </c>
    </row>
    <row r="70">
      <c r="A70" s="7" t="inlineStr">
        <is>
          <t>7. 三變體材料合計與出廠價（RMB，ODM 13%）</t>
        </is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3" t="inlineStr"/>
      <c r="B71" s="3" t="inlineStr"/>
      <c r="C71" s="3" t="inlineStr">
        <is>
          <t>變體</t>
        </is>
      </c>
      <c r="D71" s="3" t="inlineStr"/>
      <c r="E71" s="3" t="inlineStr"/>
      <c r="F71" s="3" t="inlineStr">
        <is>
          <t>材料</t>
        </is>
      </c>
      <c r="G71" s="3" t="inlineStr">
        <is>
          <t>出廠價</t>
        </is>
      </c>
      <c r="H71" s="3" t="inlineStr">
        <is>
          <t>說明</t>
        </is>
      </c>
      <c r="I71" s="3" t="inlineStr"/>
      <c r="J71" s="3" t="inlineStr"/>
      <c r="K71" s="3" t="inlineStr"/>
      <c r="L71" s="3" t="inlineStr"/>
      <c r="M71" s="3" t="inlineStr"/>
      <c r="N71" s="3" t="inlineStr"/>
    </row>
    <row r="72">
      <c r="C72" s="4" t="inlineStr">
        <is>
          <t>平地版（配置 C）</t>
        </is>
      </c>
      <c r="F72" s="13">
        <f>G49</f>
        <v>799.0</v>
      </c>
      <c r="G72" s="16">
        <f>(F72+G50)/(1-G51)</f>
        <v>943.6781609195402</v>
      </c>
      <c r="H72" s="4" t="inlineStr">
        <is>
          <t>應 = 944</t>
        </is>
      </c>
    </row>
    <row r="73">
      <c r="C73" s="4" t="inlineStr">
        <is>
          <t>日本平地版</t>
        </is>
      </c>
      <c r="F73" s="13">
        <f>G49+G60</f>
        <v>966.3</v>
      </c>
      <c r="G73" s="16">
        <f>(F73+G50)/(1-G51)</f>
        <v>1135.9770114942528</v>
      </c>
      <c r="H73" s="4" t="inlineStr">
        <is>
          <t>應 = 1,136</t>
        </is>
      </c>
    </row>
    <row r="74">
      <c r="C74" s="4" t="inlineStr">
        <is>
          <t>坡地載童版</t>
        </is>
      </c>
      <c r="F74" s="13">
        <f>G49+G60+G68</f>
        <v>1188.3</v>
      </c>
      <c r="G74" s="16">
        <f>(F74+G50)/(1-G51)</f>
        <v>1391.1494252873563</v>
      </c>
      <c r="H74" s="4" t="inlineStr">
        <is>
          <t>應 = 1,391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44" customWidth="1" min="4" max="4"/>
    <col width="14" customWidth="1" min="5" max="5"/>
    <col width="50" customWidth="1" min="6" max="6"/>
  </cols>
  <sheetData>
    <row r="1">
      <c r="A1" s="1" t="inlineStr">
        <is>
          <t>報價出處索引：每一筆單價來自哪份文件、什麼類型、可靠度如何</t>
        </is>
      </c>
    </row>
    <row r="3">
      <c r="A3" s="3" t="inlineStr">
        <is>
          <t>代號</t>
        </is>
      </c>
      <c r="B3" s="3" t="inlineStr">
        <is>
          <t>出處</t>
        </is>
      </c>
      <c r="C3" s="3" t="inlineStr">
        <is>
          <t>類型</t>
        </is>
      </c>
      <c r="D3" s="3" t="inlineStr">
        <is>
          <t>涵蓋項目</t>
        </is>
      </c>
      <c r="E3" s="3" t="inlineStr">
        <is>
          <t>可靠度</t>
        </is>
      </c>
      <c r="F3" s="3" t="inlineStr">
        <is>
          <t>備註</t>
        </is>
      </c>
    </row>
    <row r="4">
      <c r="A4" s="10" t="inlineStr">
        <is>
          <t>S1</t>
        </is>
      </c>
      <c r="B4" s="4" t="inlineStr">
        <is>
          <t>V4 模型分頁 1「單價來源（已查證，MOQ 標註於備註）」</t>
        </is>
      </c>
      <c r="C4" s="4" t="inlineStr">
        <is>
          <t>Made-in-China／1688 掛牌價，依 10 萬台量產折算 15–25%</t>
        </is>
      </c>
      <c r="D4" s="4" t="inlineStr">
        <is>
          <t>馬達、控制器、PAS、LCD／單鍵、線束、車架、輪組、煞車、輪胎、曲柄中軸、鏈條飛輪、坐墊、車燈、電芯、電池包固定成本、充電器</t>
        </is>
      </c>
      <c r="E4" s="4" t="inlineStr">
        <is>
          <t>中（掛牌價，MOQ 30–1,000）</t>
        </is>
      </c>
      <c r="F4" s="4" t="inlineStr">
        <is>
          <t>V4 自述：非供應商書面報價</t>
        </is>
      </c>
    </row>
    <row r="5">
      <c r="A5" s="10" t="inlineStr">
        <is>
          <t>S2</t>
        </is>
      </c>
      <c r="B5" s="4" t="inlineStr">
        <is>
          <t>V4 模型分頁 7「感測器方案比較」</t>
        </is>
      </c>
      <c r="C5" s="4" t="inlineStr">
        <is>
          <t>掛牌價 + 工程估值</t>
        </is>
      </c>
      <c r="D5" s="4" t="inlineStr">
        <is>
          <t>PAS 12 磁、IMU、力矩中軸、煞把斷電、線束加長、EOL 校正、日本非 BOM 增額</t>
        </is>
      </c>
      <c r="E5" s="4" t="inlineStr">
        <is>
          <t>中</t>
        </is>
      </c>
      <c r="F5" s="4" t="inlineStr">
        <is>
          <t>力矩中軸 US$28–30 @MOQ100 為多筆一致報價</t>
        </is>
      </c>
    </row>
    <row r="6">
      <c r="A6" s="10" t="inlineStr">
        <is>
          <t>S3</t>
        </is>
      </c>
      <c r="B6" s="4" t="inlineStr">
        <is>
          <t>V4 模型分頁 2「降本槓桿排序」</t>
        </is>
      </c>
      <c r="C6" s="4" t="inlineStr">
        <is>
          <t>V4 自算差額</t>
        </is>
      </c>
      <c r="D6" s="4" t="inlineStr">
        <is>
          <t>V 煞 vs 機械碟、鋁 vs 鋼架、變速 vs 單速、儀表、充電器、控制器整合</t>
        </is>
      </c>
      <c r="E6" s="4" t="inlineStr">
        <is>
          <t>中</t>
        </is>
      </c>
      <c r="F6" s="4" t="inlineStr"/>
    </row>
    <row r="7">
      <c r="A7" s="10" t="inlineStr">
        <is>
          <t>S4</t>
        </is>
      </c>
      <c r="B7" s="4" t="inlineStr">
        <is>
          <t>V4 模型分頁 12、13（認證費、達方歐洲布局）</t>
        </is>
      </c>
      <c r="C7" s="4" t="inlineStr">
        <is>
          <t>市場行情、TMT 公告費率、業者公開報價、產業媒體</t>
        </is>
      </c>
      <c r="D7" s="4" t="inlineStr">
        <is>
          <t>EN 15194 + EN 50604-1 €40–60k／型；日本型式認定 ¥266,000–377,000／型；PSE ○ ¥50 萬–600 萬、◇ 數百萬円；台灣 VSCC €9–15k／型；達方捷克廠與客戶（Bike Europe 2024/12）</t>
        </is>
      </c>
      <c r="E7" s="4" t="inlineStr">
        <is>
          <t>中高（費率為公告）</t>
        </is>
      </c>
      <c r="F7" s="4" t="inlineStr">
        <is>
          <t>PSE 費用引自業者公開報價</t>
        </is>
      </c>
    </row>
    <row r="8">
      <c r="A8" s="10" t="inlineStr">
        <is>
          <t>S5</t>
        </is>
      </c>
      <c r="B8" s="4" t="inlineStr">
        <is>
          <t>StealthWheel 技術暨商業盡職調查（2026-09-21）第二、四節</t>
        </is>
      </c>
      <c r="C8" s="4" t="inlineStr">
        <is>
          <t>產業查證：FOB 報價、零售價、OEM 專供</t>
        </is>
      </c>
      <c r="D8" s="4" t="inlineStr">
        <is>
          <t>Bafang RM G010 FOB US$69–79 @500 pcs；Bafang G310 零售 US$125；Mahle X20／X35+ 規格；TDCM 力矩感測飛輪體零售 US$115；電芯 10 × US$2.8、BMS US$8、PD3.1 US$10；ALEX TK-06U 規格修正</t>
        </is>
      </c>
      <c r="E8" s="4" t="inlineStr">
        <is>
          <t>中高</t>
        </is>
      </c>
      <c r="F8" s="4" t="inlineStr">
        <is>
          <t>盡調重估 BOM US$336 之明細</t>
        </is>
      </c>
    </row>
    <row r="9">
      <c r="A9" s="10" t="inlineStr">
        <is>
          <t>S6</t>
        </is>
      </c>
      <c r="B9" s="4" t="inlineStr">
        <is>
          <t>三電系統訂閱制與 BOM 分析報告 附錄 A（BESV 2026/06 庫存單位成本）</t>
        </is>
      </c>
      <c r="C9" s="4" t="inlineStr">
        <is>
          <t>內部錨點（小量、舊世代、多層貿易）</t>
        </is>
      </c>
      <c r="D9" s="4" t="inlineStr">
        <is>
          <t>AKM 前後輪轂、Bafang 前輪轂、Darfon 720／630Wh 電池、E4C0E、控制器 cartridge／YCDT03／YTMT02、LCM／TFT、Thun／SR／TS0003 扭力感測、速度與煞車感測、SANAV／SARA350 連網、線束、充電器</t>
        </is>
      </c>
      <c r="E9" s="4" t="inlineStr">
        <is>
          <t>高（實際採購價）但偏高</t>
        </is>
      </c>
      <c r="F9" s="4" t="inlineStr">
        <is>
          <t>僅供對照上限，不作量產單價</t>
        </is>
      </c>
    </row>
    <row r="10">
      <c r="A10" s="10" t="inlineStr">
        <is>
          <t>S7</t>
        </is>
      </c>
      <c r="B10" s="4" t="inlineStr">
        <is>
          <t>三電系統訂閱制與 BOM 分析報告 附錄 B（外部基準）</t>
        </is>
      </c>
      <c r="C10" s="4" t="inlineStr">
        <is>
          <t>上市公司年報 ASP、Alibaba 批發、研究推估</t>
        </is>
      </c>
      <c r="D10" s="4" t="inlineStr">
        <is>
          <t>八方／安乃達齒輪輪轂 ASP RMB 230–335；Bafang M600／H700 套件 OEM 估價；Samsung 50S US$0.10/Wh；720Wh 包 FOB US$170；中軸扭力感測中系批量 US$15–40；Quectel EC200S US$6.50 @10k；42V 2A 充電器 US$6.5–11；認證 US$80–180k／新平台</t>
        </is>
      </c>
      <c r="E10" s="4" t="inlineStr">
        <is>
          <t>中高（年報）／中（Alibaba）</t>
        </is>
      </c>
      <c r="F10" s="4" t="inlineStr">
        <is>
          <t>標註「待驗證」者須核對原頁</t>
        </is>
      </c>
    </row>
    <row r="11">
      <c r="A11" s="10" t="inlineStr">
        <is>
          <t>S8</t>
        </is>
      </c>
      <c r="B11" s="4" t="inlineStr">
        <is>
          <t>V3 補充模型（三變體、輪內可拆 vs 車架可拆）</t>
        </is>
      </c>
      <c r="C11" s="4" t="inlineStr">
        <is>
          <t>本專案假設</t>
        </is>
      </c>
      <c r="D11" s="4" t="inlineStr">
        <is>
          <t>45 N·m 馬達 +80、子乗せ車架 +90、20 吋 −10、認定攤提 +8、電芯級可換 +20、輪內母模 US$78</t>
        </is>
      </c>
      <c r="E11" s="4" t="inlineStr">
        <is>
          <t>低（假設）</t>
        </is>
      </c>
      <c r="F11" s="4" t="inlineStr">
        <is>
          <t>須以報價覆寫</t>
        </is>
      </c>
    </row>
    <row r="12">
      <c r="A12" s="10" t="inlineStr">
        <is>
          <t>S9</t>
        </is>
      </c>
      <c r="B12" s="4" t="inlineStr">
        <is>
          <t>網路查證（2026-09）：Bike Europe、Show Daily、BMZ、Bafang 官網</t>
        </is>
      </c>
      <c r="C12" s="4" t="inlineStr">
        <is>
          <t>產業媒體與供應商公開資料</t>
        </is>
      </c>
      <c r="D12" s="4" t="inlineStr">
        <is>
          <t>達方捷克廠年產 30 萬組、Shimano 認證替換電池、Stromer 客製包；BMZ RB-900 合規電池；Bafang LMT 電池 Art.10 宣告</t>
        </is>
      </c>
      <c r="E12" s="4" t="inlineStr">
        <is>
          <t>中高</t>
        </is>
      </c>
      <c r="F12" s="4" t="inlineStr">
        <is>
          <t>對照與供應商能力，不含單價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4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  <col width="34" customWidth="1" min="11" max="11"/>
  </cols>
  <sheetData>
    <row r="1">
      <c r="A1" s="1" t="inlineStr">
        <is>
          <t>RFQ 待詢價清單：依佔不含電池 BOM 比重與價格不透明度排序（10k／30k／100k 三檔書面報價，填入後覆寫 BOM 清單藍字）</t>
        </is>
      </c>
    </row>
    <row r="3">
      <c r="A3" s="3" t="inlineStr">
        <is>
          <t>優先</t>
        </is>
      </c>
      <c r="B3" s="3" t="inlineStr">
        <is>
          <t>項目</t>
        </is>
      </c>
      <c r="C3" s="3" t="inlineStr">
        <is>
          <t>目標規格（詢價用）</t>
        </is>
      </c>
      <c r="D3" s="3" t="inlineStr">
        <is>
          <t>建議詢價對象</t>
        </is>
      </c>
      <c r="E3" s="3" t="inlineStr">
        <is>
          <t>目前估值 RMB</t>
        </is>
      </c>
      <c r="F3" s="3" t="inlineStr">
        <is>
          <t>10k 報價</t>
        </is>
      </c>
      <c r="G3" s="3" t="inlineStr">
        <is>
          <t>30k 報價</t>
        </is>
      </c>
      <c r="H3" s="3" t="inlineStr">
        <is>
          <t>100k 報價</t>
        </is>
      </c>
      <c r="I3" s="3" t="inlineStr">
        <is>
          <t>佔配置 C 材料</t>
        </is>
      </c>
      <c r="J3" s="3" t="inlineStr">
        <is>
          <t>狀態</t>
        </is>
      </c>
      <c r="K3" s="3" t="inlineStr">
        <is>
          <t>備註</t>
        </is>
      </c>
    </row>
    <row r="4">
      <c r="A4" s="9" t="n">
        <v>1</v>
      </c>
      <c r="B4" s="10" t="inlineStr">
        <is>
          <t>250W 齒輪後輪轂馬達 + 側蓋整合控制器</t>
        </is>
      </c>
      <c r="C4" s="4" t="inlineStr">
        <is>
          <t>250W 連續、輪端 30–32 N·m、2.3–3.0 kg、135mm、螺紋單飛座；側蓋內建 36V 15A 正弦波控制器（雙訊號輸入、OTP 限速）；另報 40–45 N·m 級</t>
        </is>
      </c>
      <c r="D4" s="4" t="inlineStr">
        <is>
          <t>Bafang 八方、Ananda 安乃達（AKM）、常州 Found、Shengyi 盛義、XOFO 信孚</t>
        </is>
      </c>
      <c r="E4" s="19" t="n">
        <v>265</v>
      </c>
      <c r="F4" s="19" t="n"/>
      <c r="G4" s="19" t="n"/>
      <c r="H4" s="19" t="n"/>
      <c r="I4" s="20">
        <f>E4/BOM清單!G49</f>
        <v>0.3316645807259074</v>
      </c>
      <c r="J4" s="15" t="inlineStr">
        <is>
          <t>待詢價</t>
        </is>
      </c>
      <c r="K4" s="4" t="inlineStr">
        <is>
          <t>馬達 205 + 控制器 60；整合報價可省 RMB 23–41</t>
        </is>
      </c>
    </row>
    <row r="5">
      <c r="A5" s="9" t="n">
        <v>2</v>
      </c>
      <c r="B5" s="10" t="inlineStr">
        <is>
          <t>電池包（三容量同殼、電芯級可換）</t>
        </is>
      </c>
      <c r="C5" s="4" t="inlineStr">
        <is>
          <t>36V 180／252／360Wh，10s1p／10s2p，同一外殼不同填充率；電芯座 + 彈簧接點；BMS 含 BLE SoH 與護照資料欄位；IP65；EN 50604-1、UN38.3</t>
        </is>
      </c>
      <c r="D5" s="4" t="inlineStr">
        <is>
          <t>達宇 Darfon Energy（自製）、蘇州；電芯：DMEGC、EVE、BAK、Lishen、Samsung SDI；歐洲落地：達方捷克廠</t>
        </is>
      </c>
      <c r="E5" s="19" t="n">
        <v>282</v>
      </c>
      <c r="F5" s="19" t="n"/>
      <c r="G5" s="19" t="n"/>
      <c r="H5" s="19" t="n"/>
      <c r="I5" s="20">
        <f>E5/BOM清單!G49</f>
        <v>0.35294117647058826</v>
      </c>
      <c r="J5" s="15" t="inlineStr">
        <is>
          <t>待詢價</t>
        </is>
      </c>
      <c r="K5" s="4" t="inlineStr">
        <is>
          <t>訂閱資產，不計入出廠價但決定月費</t>
        </is>
      </c>
    </row>
    <row r="6">
      <c r="A6" s="9" t="n">
        <v>3</v>
      </c>
      <c r="B6" s="10" t="inlineStr">
        <is>
          <t>中軸扭力感測器（日本版）</t>
        </is>
      </c>
      <c r="C6" s="4" t="inlineStr">
        <is>
          <t>0–80 N·m、IP66、方孔或 ISIS、0–5V 或 CAN 輸出、含線束；出廠零點校正治具</t>
        </is>
      </c>
      <c r="D6" s="4" t="inlineStr">
        <is>
          <t>森浦 Sempu、TDCM、NCTE、SR</t>
        </is>
      </c>
      <c r="E6" s="19" t="n">
        <v>160</v>
      </c>
      <c r="F6" s="19" t="n"/>
      <c r="G6" s="19" t="n"/>
      <c r="H6" s="19" t="n"/>
      <c r="I6" s="20">
        <f>E6/BOM清單!G49</f>
        <v>0.2002503128911139</v>
      </c>
      <c r="J6" s="15" t="inlineStr">
        <is>
          <t>待詢價</t>
        </is>
      </c>
      <c r="K6" s="4" t="inlineStr">
        <is>
          <t>日本版必要；最不透明</t>
        </is>
      </c>
    </row>
    <row r="7">
      <c r="A7" s="9" t="n">
        <v>4</v>
      </c>
      <c r="B7" s="10" t="inlineStr">
        <is>
          <t>車架 + 前叉（含塗裝）</t>
        </is>
      </c>
      <c r="C7" s="4" t="inlineStr">
        <is>
          <t>鋼公版城市車架、135mm 開檔、無內走線；鋁 6061 選項；日本載童版：通過幼児二人同乗基準之公版</t>
        </is>
      </c>
      <c r="D7" s="4" t="inlineStr">
        <is>
          <t>世同／太宇既有車架供應商（台灣／越南）、天津車架廠；日本 BAA 會員廠之 OEM</t>
        </is>
      </c>
      <c r="E7" s="19" t="n">
        <v>100</v>
      </c>
      <c r="F7" s="19" t="n"/>
      <c r="G7" s="19" t="n"/>
      <c r="H7" s="19" t="n"/>
      <c r="I7" s="20">
        <f>E7/BOM清單!G49</f>
        <v>0.1251564455569462</v>
      </c>
      <c r="J7" s="15" t="inlineStr">
        <is>
          <t>待詢價</t>
        </is>
      </c>
      <c r="K7" s="4" t="inlineStr">
        <is>
          <t>歐洲版須台越製以避 AD+CVD</t>
        </is>
      </c>
    </row>
    <row r="8">
      <c r="A8" s="9" t="n">
        <v>5</v>
      </c>
      <c r="B8" s="10" t="inlineStr">
        <is>
          <t>充電器 36V 2A（CE／GS；日本 ◇PSE）</t>
        </is>
      </c>
      <c r="C8" s="4" t="inlineStr">
        <is>
          <t>全電壓、CE/GS；日本版 PSE 特定電気用品認證含海外工廠檢查</t>
        </is>
      </c>
      <c r="D8" s="4" t="inlineStr">
        <is>
          <t>中系充電器廠；BESV JAPAN 協助 PSE</t>
        </is>
      </c>
      <c r="E8" s="19" t="n">
        <v>40</v>
      </c>
      <c r="F8" s="19" t="n"/>
      <c r="G8" s="19" t="n"/>
      <c r="H8" s="19" t="n"/>
      <c r="I8" s="20">
        <f>E8/BOM清單!G49</f>
        <v>0.05006257822277847</v>
      </c>
      <c r="J8" s="15" t="inlineStr">
        <is>
          <t>待詢價</t>
        </is>
      </c>
      <c r="K8" s="4" t="inlineStr">
        <is>
          <t>PSE 認證費數百萬円須先確認由誰承擔</t>
        </is>
      </c>
    </row>
    <row r="9">
      <c r="A9" s="9" t="n">
        <v>6</v>
      </c>
      <c r="B9" s="10" t="inlineStr">
        <is>
          <t>煞車全套</t>
        </is>
      </c>
      <c r="C9" s="4" t="inlineStr">
        <is>
          <t>V 煞前後含斷電把手；機械碟版含碟煞花鼓／座</t>
        </is>
      </c>
      <c r="D9" s="4" t="inlineStr">
        <is>
          <t>Tektro 彥豪、Promax、Alhonga、無錫五星</t>
        </is>
      </c>
      <c r="E9" s="19" t="n">
        <v>30</v>
      </c>
      <c r="F9" s="19" t="n"/>
      <c r="G9" s="19" t="n"/>
      <c r="H9" s="19" t="n"/>
      <c r="I9" s="20">
        <f>E9/BOM清單!G49</f>
        <v>0.03754693366708386</v>
      </c>
      <c r="J9" s="15" t="inlineStr">
        <is>
          <t>待詢價</t>
        </is>
      </c>
      <c r="K9" s="4" t="inlineStr">
        <is>
          <t>載童版後碟 +54</t>
        </is>
      </c>
    </row>
    <row r="10">
      <c r="A10" s="9" t="n">
        <v>7</v>
      </c>
      <c r="B10" s="10" t="inlineStr">
        <is>
          <t>輪組與輪胎</t>
        </is>
      </c>
      <c r="C10" s="4" t="inlineStr">
        <is>
          <t>24／26 吋成輪、防刺胎</t>
        </is>
      </c>
      <c r="D10" s="4" t="inlineStr">
        <is>
          <t>中系成輪廠、朝陽、建大、正新</t>
        </is>
      </c>
      <c r="E10" s="19" t="n">
        <v>102</v>
      </c>
      <c r="F10" s="19" t="n"/>
      <c r="G10" s="19" t="n"/>
      <c r="H10" s="19" t="n"/>
      <c r="I10" s="20">
        <f>E10/BOM清單!G49</f>
        <v>0.1276595744680851</v>
      </c>
      <c r="J10" s="15" t="inlineStr">
        <is>
          <t>待詢價</t>
        </is>
      </c>
      <c r="K10" s="4" t="inlineStr">
        <is>
          <t>前輪組 70 + 輪胎 32</t>
        </is>
      </c>
    </row>
    <row r="11">
      <c r="A11" s="9" t="n">
        <v>8</v>
      </c>
      <c r="B11" s="10" t="inlineStr">
        <is>
          <t>曲柄／中軸／踏板、鏈條、飛輪</t>
        </is>
      </c>
      <c r="C11" s="4" t="inlineStr">
        <is>
          <t>44T／42T 曲柄組、方孔 BB、單速鏈、16T／18T 單飛</t>
        </is>
      </c>
      <c r="D11" s="4" t="inlineStr">
        <is>
          <t>Prowheel、Lasco、KMC、DNP</t>
        </is>
      </c>
      <c r="E11" s="19" t="n">
        <v>61</v>
      </c>
      <c r="F11" s="19" t="n"/>
      <c r="G11" s="19" t="n"/>
      <c r="H11" s="19" t="n"/>
      <c r="I11" s="20">
        <f>E11/BOM清單!G49</f>
        <v>0.07634543178973717</v>
      </c>
      <c r="J11" s="15" t="inlineStr">
        <is>
          <t>待詢價</t>
        </is>
      </c>
      <c r="K11" s="4" t="inlineStr"/>
    </row>
    <row r="12">
      <c r="A12" s="9" t="n">
        <v>9</v>
      </c>
      <c r="B12" s="10" t="inlineStr">
        <is>
          <t>座艙與配件</t>
        </is>
      </c>
      <c r="C12" s="4" t="inlineStr">
        <is>
          <t>把手、龍頭、座管、坐墊、握把、擋泥板、側柱、LED 燈、鈴</t>
        </is>
      </c>
      <c r="D12" s="4" t="inlineStr">
        <is>
          <t>中系；Velo、Spanninga（升級）</t>
        </is>
      </c>
      <c r="E12" s="19" t="n">
        <v>95</v>
      </c>
      <c r="F12" s="19" t="n"/>
      <c r="G12" s="19" t="n"/>
      <c r="H12" s="19" t="n"/>
      <c r="I12" s="20">
        <f>E12/BOM清單!G49</f>
        <v>0.11889862327909888</v>
      </c>
      <c r="J12" s="15" t="inlineStr">
        <is>
          <t>待詢價</t>
        </is>
      </c>
      <c r="K12" s="4" t="inlineStr"/>
    </row>
    <row r="13">
      <c r="A13" s="9" t="n">
        <v>10</v>
      </c>
      <c r="B13" s="10" t="inlineStr">
        <is>
          <t>PAS、IMU、按鍵、線束</t>
        </is>
      </c>
      <c r="C13" s="4" t="inlineStr">
        <is>
          <t>12 磁 PAS、6 軸 IMU、單鍵 RGB、主線束 4pin</t>
        </is>
      </c>
      <c r="D13" s="4" t="inlineStr">
        <is>
          <t>通用件；HiGo、Julet；TDK、Bosch Sensortec</t>
        </is>
      </c>
      <c r="E13" s="19" t="n">
        <v>63</v>
      </c>
      <c r="F13" s="19" t="n"/>
      <c r="G13" s="19" t="n"/>
      <c r="H13" s="19" t="n"/>
      <c r="I13" s="20">
        <f>E13/BOM清單!G49</f>
        <v>0.07884856070087609</v>
      </c>
      <c r="J13" s="15" t="inlineStr">
        <is>
          <t>待詢價</t>
        </is>
      </c>
      <c r="K13" s="4" t="inlineStr">
        <is>
          <t>B 方案增量含 IMU 8、煞把 12</t>
        </is>
      </c>
    </row>
    <row r="14">
      <c r="B14" s="10" t="inlineStr">
        <is>
          <t>說明</t>
        </is>
      </c>
      <c r="C14" s="4" t="inlineStr">
        <is>
          <t>三檔報價填入後，將 100k 報價回填 BOM 清單 F 欄藍字，出廠價與三變體合計自動重算。序 1–3 合計佔不含電池 BOM 約 35%，為投模具前必須關閉的不確定性。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2026-09-23T01:44:31Z</dcterms:created>
  <dcterms:modified xmlns:dcterms="http://purl.org/dc/terms/" xmlns:xsi="http://www.w3.org/2001/XMLSchema-instance" xsi:type="dcterms:W3CDTF">2026-09-23T01:44:31Z</dcterms:modified>
</cp:coreProperties>
</file>