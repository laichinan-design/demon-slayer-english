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設" sheetId="1" state="visible" r:id="rId1"/>
    <sheet xmlns:r="http://schemas.openxmlformats.org/officeDocument/2006/relationships" name="入手價" sheetId="2" state="visible" r:id="rId2"/>
    <sheet xmlns:r="http://schemas.openxmlformats.org/officeDocument/2006/relationships" name="電池訂閱費" sheetId="3" state="visible" r:id="rId3"/>
    <sheet xmlns:r="http://schemas.openxmlformats.org/officeDocument/2006/relationships" name="輪內可拆vs車架可拆" sheetId="4" state="visible" r:id="rId4"/>
    <sheet xmlns:r="http://schemas.openxmlformats.org/officeDocument/2006/relationships" name="護城河" sheetId="5" state="visible" r:id="rId5"/>
    <sheet xmlns:r="http://schemas.openxmlformats.org/officeDocument/2006/relationships" name="日本付款路徑" sheetId="6" state="visible" r:id="rId6"/>
    <sheet xmlns:r="http://schemas.openxmlformats.org/officeDocument/2006/relationships" name="三變體" sheetId="7" state="visible" r:id="rId7"/>
    <sheet xmlns:r="http://schemas.openxmlformats.org/officeDocument/2006/relationships" name="五年財務" sheetId="8" state="visible" r:id="rId8"/>
    <sheet xmlns:r="http://schemas.openxmlformats.org/officeDocument/2006/relationships" name="兩條路對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#,##0.00;(#,##0.00);&quot;-&quot;"/>
    <numFmt numFmtId="167" formatCode="#,##0.0;(#,##0.0);&quot;-&quot;"/>
  </numFmts>
  <fonts count="10">
    <font>
      <name val="Calibri"/>
      <family val="2"/>
      <color theme="1"/>
      <sz val="11"/>
      <scheme val="minor"/>
    </font>
    <font>
      <name val="Microsoft JhengHei"/>
      <b val="1"/>
      <color rgb="001F3864"/>
      <sz val="14"/>
    </font>
    <font>
      <name val="Microsoft JhengHei"/>
      <i val="1"/>
      <color rgb="00595959"/>
      <sz val="9"/>
    </font>
    <font>
      <name val="Microsoft JhengHei"/>
      <b val="1"/>
      <color rgb="001F3864"/>
      <sz val="10"/>
    </font>
    <font>
      <name val="Microsoft JhengHei"/>
      <b val="1"/>
      <color rgb="00FFFFFF"/>
      <sz val="10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b val="1"/>
      <color rgb="000000FF"/>
      <sz val="10"/>
    </font>
    <font>
      <name val="Microsoft JhengHei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7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6" fontId="7" fillId="4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167" fontId="7" fillId="4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5" fontId="7" fillId="4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7" fontId="5" fillId="4" borderId="1" applyAlignment="1" pivotButton="0" quotePrefix="0" xfId="0">
      <alignment vertical="center"/>
    </xf>
    <xf numFmtId="166" fontId="9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64" customWidth="1" min="3" max="3"/>
  </cols>
  <sheetData>
    <row r="1">
      <c r="A1" s="1" t="inlineStr">
        <is>
          <t>V3 補充：電池 + 充電器拆分為訂閱｜入手價、訂閱費、輪內可拆成本、護城河</t>
        </is>
      </c>
    </row>
    <row r="2">
      <c r="A2" s="2" t="inlineStr">
        <is>
          <t>藍字 = 可調輸入（取自「單速+Hub-motor 整車出廠價降本模型 V3」與 StealthWheel 盡調報告）；黑字 = 公式；綠字 = 跨表連結。2026-09-21</t>
        </is>
      </c>
    </row>
    <row r="4">
      <c r="A4" s="3" t="inlineStr">
        <is>
          <t>A. V3 模型基準（中國 FOB，10 萬台/年）</t>
        </is>
      </c>
      <c r="B4" s="4" t="n"/>
      <c r="C4" s="4" t="n"/>
    </row>
    <row r="5">
      <c r="A5" s="5" t="inlineStr">
        <is>
          <t>參數</t>
        </is>
      </c>
      <c r="B5" s="5" t="inlineStr">
        <is>
          <t>值</t>
        </is>
      </c>
      <c r="C5" s="5" t="inlineStr">
        <is>
          <t>來源</t>
        </is>
      </c>
    </row>
    <row r="6">
      <c r="A6" s="6" t="inlineStr">
        <is>
          <t>極簡 180Wh 配置材料合計（RMB）</t>
        </is>
      </c>
      <c r="B6" s="7" t="n">
        <v>1121</v>
      </c>
      <c r="C6" s="6" t="inlineStr">
        <is>
          <t>V3 1_假設與單價 C43（鋼架/V煞/PAS/單鍵/單速/180Wh）</t>
        </is>
      </c>
    </row>
    <row r="7">
      <c r="A7" s="6" t="inlineStr">
        <is>
          <t>直接組裝工時 + QC（RMB/台）</t>
        </is>
      </c>
      <c r="B7" s="7" t="n">
        <v>22</v>
      </c>
      <c r="C7" s="6" t="inlineStr">
        <is>
          <t>V3 B8</t>
        </is>
      </c>
    </row>
    <row r="8">
      <c r="A8" s="6" t="inlineStr">
        <is>
          <t>ODM 毛利率（爭取值）</t>
        </is>
      </c>
      <c r="B8" s="8" t="n">
        <v>0.13</v>
      </c>
      <c r="C8" s="6" t="inlineStr">
        <is>
          <t>V3 B9</t>
        </is>
      </c>
    </row>
    <row r="9">
      <c r="A9" s="6" t="inlineStr">
        <is>
          <t>ODM 毛利率（實際可能）</t>
        </is>
      </c>
      <c r="B9" s="8" t="n">
        <v>0.18</v>
      </c>
      <c r="C9" s="6" t="inlineStr">
        <is>
          <t>V3 分頁 3：富士達電助力車事業 18.94%</t>
        </is>
      </c>
    </row>
    <row r="10">
      <c r="A10" s="6" t="inlineStr">
        <is>
          <t>電芯單價（RMB/Wh）</t>
        </is>
      </c>
      <c r="B10" s="9" t="n">
        <v>0.66</v>
      </c>
      <c r="C10" s="6" t="inlineStr">
        <is>
          <t>V3 B10</t>
        </is>
      </c>
    </row>
    <row r="11">
      <c r="A11" s="6" t="inlineStr">
        <is>
          <t>電池包固定成本（RMB）</t>
        </is>
      </c>
      <c r="B11" s="7" t="n">
        <v>120</v>
      </c>
      <c r="C11" s="6" t="inlineStr">
        <is>
          <t>V3 B11：BMS + 外殼/軌道/鎖 + 連接器/點焊/測試，不隨容量縮小</t>
        </is>
      </c>
    </row>
    <row r="12">
      <c r="A12" s="6" t="inlineStr">
        <is>
          <t>電池包加工毛利</t>
        </is>
      </c>
      <c r="B12" s="8" t="n">
        <v>0.18</v>
      </c>
      <c r="C12" s="6" t="inlineStr">
        <is>
          <t>V3 B12</t>
        </is>
      </c>
    </row>
    <row r="13">
      <c r="A13" s="6" t="inlineStr">
        <is>
          <t>充電器 36V 2A（RMB）</t>
        </is>
      </c>
      <c r="B13" s="7" t="n">
        <v>40</v>
      </c>
      <c r="C13" s="6" t="inlineStr">
        <is>
          <t>V3 C31</t>
        </is>
      </c>
    </row>
    <row r="14">
      <c r="A14" s="6" t="inlineStr">
        <is>
          <t>日本版力矩感測淨增額（RMB 材料）</t>
        </is>
      </c>
      <c r="B14" s="7" t="n">
        <v>160</v>
      </c>
      <c r="C14" s="6" t="inlineStr">
        <is>
          <t>V3 分頁 7 D15（力矩中軸 160 − 標準中軸 7 + 線束 14 + 校正 3 − PAS 10 ≈ 160）</t>
        </is>
      </c>
    </row>
    <row r="15">
      <c r="A15" s="6" t="inlineStr">
        <is>
          <t>日本版非 BOM 增額（型式認定/PSE/說明書/OTP，RMB）</t>
        </is>
      </c>
      <c r="B15" s="10" t="n">
        <v>7.3</v>
      </c>
      <c r="C15" s="6" t="inlineStr">
        <is>
          <t>V3 分頁 7 B40:B43</t>
        </is>
      </c>
    </row>
    <row r="17">
      <c r="A17" s="3" t="inlineStr">
        <is>
          <t>B. 匯率（V3 一致）</t>
        </is>
      </c>
      <c r="B17" s="4" t="n"/>
      <c r="C17" s="4" t="n"/>
    </row>
    <row r="18">
      <c r="A18" s="5" t="inlineStr">
        <is>
          <t>參數</t>
        </is>
      </c>
      <c r="B18" s="5" t="inlineStr">
        <is>
          <t>值</t>
        </is>
      </c>
      <c r="C18" s="5" t="inlineStr">
        <is>
          <t>來源</t>
        </is>
      </c>
    </row>
    <row r="19">
      <c r="A19" s="6" t="inlineStr">
        <is>
          <t>RMB / EUR</t>
        </is>
      </c>
      <c r="B19" s="9" t="n">
        <v>10.8</v>
      </c>
      <c r="C19" s="6" t="inlineStr">
        <is>
          <t>V3 分頁 10</t>
        </is>
      </c>
    </row>
    <row r="20">
      <c r="A20" s="6" t="inlineStr">
        <is>
          <t>NTD / RMB</t>
        </is>
      </c>
      <c r="B20" s="9" t="n">
        <v>4.54</v>
      </c>
      <c r="C20" s="6" t="inlineStr">
        <is>
          <t>V3 B7</t>
        </is>
      </c>
    </row>
    <row r="21">
      <c r="A21" s="6" t="inlineStr">
        <is>
          <t>JPY / RMB</t>
        </is>
      </c>
      <c r="B21" s="9" t="n">
        <v>23.5</v>
      </c>
      <c r="C21" s="6" t="inlineStr">
        <is>
          <t>V3 分頁 8 B7</t>
        </is>
      </c>
    </row>
    <row r="23">
      <c r="A23" s="3" t="inlineStr">
        <is>
          <t>C. 車體零售（入手價）假設</t>
        </is>
      </c>
      <c r="B23" s="4" t="n"/>
      <c r="C23" s="4" t="n"/>
    </row>
    <row r="24">
      <c r="A24" s="5" t="inlineStr">
        <is>
          <t>參數</t>
        </is>
      </c>
      <c r="B24" s="5" t="inlineStr">
        <is>
          <t>值</t>
        </is>
      </c>
      <c r="C24" s="5" t="inlineStr">
        <is>
          <t>來源</t>
        </is>
      </c>
    </row>
    <row r="25">
      <c r="A25" s="6" t="inlineStr">
        <is>
          <t>歐洲：關稅（台越製 MFN；中國製不適用）</t>
        </is>
      </c>
      <c r="B25" s="8" t="n">
        <v>0.06</v>
      </c>
      <c r="C25" s="6" t="inlineStr">
        <is>
          <t>V3 分頁 10 B36。注意：中國 FOB 出貨至歐盟另有 AD+CVD，本表沿用 V3 假設以台越製計</t>
        </is>
      </c>
    </row>
    <row r="26">
      <c r="A26" s="6" t="inlineStr">
        <is>
          <t>歐洲：運費（€/台）</t>
        </is>
      </c>
      <c r="B26" s="7" t="n">
        <v>8</v>
      </c>
      <c r="C26" s="6" t="inlineStr">
        <is>
          <t>V3 分頁 10</t>
        </is>
      </c>
    </row>
    <row r="27">
      <c r="A27" s="6" t="inlineStr">
        <is>
          <t>歐洲：DTC 毛利率</t>
        </is>
      </c>
      <c r="B27" s="8" t="n">
        <v>0.35</v>
      </c>
      <c r="C27" s="6" t="inlineStr">
        <is>
          <t>V3</t>
        </is>
      </c>
    </row>
    <row r="28">
      <c r="A28" s="6" t="inlineStr">
        <is>
          <t>歐洲：經銷抽成</t>
        </is>
      </c>
      <c r="B28" s="8" t="n">
        <v>0.38</v>
      </c>
      <c r="C28" s="6" t="inlineStr">
        <is>
          <t>V3</t>
        </is>
      </c>
    </row>
    <row r="29">
      <c r="A29" s="6" t="inlineStr">
        <is>
          <t>歐洲：VAT</t>
        </is>
      </c>
      <c r="B29" s="8" t="n">
        <v>0.19</v>
      </c>
      <c r="C29" s="6" t="inlineStr"/>
    </row>
    <row r="30">
      <c r="A30" s="6" t="inlineStr">
        <is>
          <t>台灣：DTC 毛利率</t>
        </is>
      </c>
      <c r="B30" s="8" t="n">
        <v>0.35</v>
      </c>
      <c r="C30" s="6" t="inlineStr">
        <is>
          <t>V3</t>
        </is>
      </c>
    </row>
    <row r="31">
      <c r="A31" s="6" t="inlineStr">
        <is>
          <t>台灣：營業稅</t>
        </is>
      </c>
      <c r="B31" s="8" t="n">
        <v>0.05</v>
      </c>
      <c r="C31" s="6" t="inlineStr"/>
    </row>
    <row r="32">
      <c r="A32" s="6" t="inlineStr">
        <is>
          <t>日本：出口報關/內陸 4%</t>
        </is>
      </c>
      <c r="B32" s="8" t="n">
        <v>0.04</v>
      </c>
      <c r="C32" s="6" t="inlineStr">
        <is>
          <t>V3 分頁 8 B9</t>
        </is>
      </c>
    </row>
    <row r="33">
      <c r="A33" s="6" t="inlineStr">
        <is>
          <t>日本：海運保險（¥/台）</t>
        </is>
      </c>
      <c r="B33" s="7" t="n">
        <v>1800</v>
      </c>
      <c r="C33" s="6" t="inlineStr">
        <is>
          <t>V3 B10</t>
        </is>
      </c>
    </row>
    <row r="34">
      <c r="A34" s="6" t="inlineStr">
        <is>
          <t>日本：通關拖運（¥/台）</t>
        </is>
      </c>
      <c r="B34" s="7" t="n">
        <v>800</v>
      </c>
      <c r="C34" s="6" t="inlineStr">
        <is>
          <t>V3 B14</t>
        </is>
      </c>
    </row>
    <row r="35">
      <c r="A35" s="6" t="inlineStr">
        <is>
          <t>日本：PSE 逐台檢查 + 認證攤提（¥/台）</t>
        </is>
      </c>
      <c r="B35" s="7" t="n">
        <v>600</v>
      </c>
      <c r="C35" s="6" t="inlineStr">
        <is>
          <t>V3 B15</t>
        </is>
      </c>
    </row>
    <row r="36">
      <c r="A36" s="6" t="inlineStr">
        <is>
          <t>日本：PDI/說明書/防犯登録/保固準備（¥/台）</t>
        </is>
      </c>
      <c r="B36" s="7" t="n">
        <v>3500</v>
      </c>
      <c r="C36" s="6" t="inlineStr">
        <is>
          <t>V3 B16</t>
        </is>
      </c>
    </row>
    <row r="37">
      <c r="A37" s="6" t="inlineStr">
        <is>
          <t>日本：通路 PB 情境 PDI 減項（¥）</t>
        </is>
      </c>
      <c r="B37" s="7" t="n">
        <v>3500</v>
      </c>
      <c r="C37" s="6" t="inlineStr">
        <is>
          <t>V3 B25</t>
        </is>
      </c>
    </row>
    <row r="38">
      <c r="A38" s="6" t="inlineStr">
        <is>
          <t>日本：通路 PB 零售毛利</t>
        </is>
      </c>
      <c r="B38" s="8" t="n">
        <v>0.3</v>
      </c>
      <c r="C38" s="6" t="inlineStr">
        <is>
          <t>V3 E25</t>
        </is>
      </c>
    </row>
    <row r="39">
      <c r="A39" s="6" t="inlineStr">
        <is>
          <t>日本：BESV 壓縮進口毛利</t>
        </is>
      </c>
      <c r="B39" s="8" t="n">
        <v>0.15</v>
      </c>
      <c r="C39" s="6" t="inlineStr">
        <is>
          <t>V3 C24</t>
        </is>
      </c>
    </row>
    <row r="40">
      <c r="A40" s="6" t="inlineStr">
        <is>
          <t>日本：經銷零售毛利</t>
        </is>
      </c>
      <c r="B40" s="8" t="n">
        <v>0.22</v>
      </c>
      <c r="C40" s="6" t="inlineStr">
        <is>
          <t>V3 E24</t>
        </is>
      </c>
    </row>
    <row r="41">
      <c r="A41" s="6" t="inlineStr">
        <is>
          <t>日本：消費稅</t>
        </is>
      </c>
      <c r="B41" s="8" t="n">
        <v>0.1</v>
      </c>
      <c r="C41" s="6" t="inlineStr"/>
    </row>
    <row r="43">
      <c r="A43" s="3" t="inlineStr">
        <is>
          <t>D. 電池訂閱費：成本堆疊定價假設（三市場）</t>
        </is>
      </c>
      <c r="B43" s="4" t="n"/>
      <c r="C43" s="4" t="n"/>
    </row>
    <row r="44">
      <c r="A44" s="5" t="inlineStr">
        <is>
          <t>參數</t>
        </is>
      </c>
      <c r="B44" s="5" t="inlineStr">
        <is>
          <t>歐洲 € / 台灣 NT$ / 日本 ¥（同列三值見備註）</t>
        </is>
      </c>
      <c r="C44" s="5" t="inlineStr">
        <is>
          <t>說明</t>
        </is>
      </c>
    </row>
    <row r="45">
      <c r="A45" s="3" t="inlineStr">
        <is>
          <t>D-歐洲（EUR）</t>
        </is>
      </c>
      <c r="B45" s="4" t="n"/>
      <c r="C45" s="4" t="n"/>
    </row>
    <row r="46">
      <c r="A46" s="11" t="inlineStr">
        <is>
          <t>VAT / 稅</t>
        </is>
      </c>
      <c r="B46" s="8" t="n">
        <v>0.19</v>
      </c>
      <c r="C46" s="6" t="inlineStr">
        <is>
          <t>V3 分頁 10：VAT 19%、呆帳 6%、金流 2.5%、客服 €1.0、維修物流 €0.2；更換物流 €30 為 UN3480 經銷點陸運（盡調報告 €20–50）；CAC €30 為隨車成交假設</t>
        </is>
      </c>
    </row>
    <row r="47">
      <c r="A47" s="11" t="inlineStr">
        <is>
          <t>呆帳率</t>
        </is>
      </c>
      <c r="B47" s="8" t="n">
        <v>0.06</v>
      </c>
      <c r="C47" s="6" t="inlineStr"/>
    </row>
    <row r="48">
      <c r="A48" s="11" t="inlineStr">
        <is>
          <t>金流手續費</t>
        </is>
      </c>
      <c r="B48" s="8" t="n">
        <v>0.025</v>
      </c>
      <c r="C48" s="6" t="inlineStr"/>
    </row>
    <row r="49">
      <c r="A49" s="11" t="inlineStr">
        <is>
          <t>客服/APP/雲端（每戶/月）</t>
        </is>
      </c>
      <c r="B49" s="9" t="n">
        <v>1</v>
      </c>
      <c r="C49" s="6" t="inlineStr"/>
    </row>
    <row r="50">
      <c r="A50" s="11" t="inlineStr">
        <is>
          <t>維修與物流準備（每戶/月）</t>
        </is>
      </c>
      <c r="B50" s="9" t="n">
        <v>0.2</v>
      </c>
      <c r="C50" s="6" t="inlineStr"/>
    </row>
    <row r="51">
      <c r="A51" s="11" t="inlineStr">
        <is>
          <t>失竊補償準備（每戶/月）</t>
        </is>
      </c>
      <c r="B51" s="9" t="n">
        <v>0.5</v>
      </c>
      <c r="C51" s="6" t="inlineStr"/>
    </row>
    <row r="52">
      <c r="A52" s="11" t="inlineStr">
        <is>
          <t>電池更換週期（月）</t>
        </is>
      </c>
      <c r="B52" s="7" t="n">
        <v>48</v>
      </c>
      <c r="C52" s="6" t="inlineStr"/>
    </row>
    <row r="53">
      <c r="A53" s="11" t="inlineStr">
        <is>
          <t>更換物流（每次，經銷點）</t>
        </is>
      </c>
      <c r="B53" s="7" t="n">
        <v>30</v>
      </c>
      <c r="C53" s="6" t="inlineStr"/>
    </row>
    <row r="54">
      <c r="A54" s="11" t="inlineStr">
        <is>
          <t>訂閱壽命（月）</t>
        </is>
      </c>
      <c r="B54" s="7" t="n">
        <v>36</v>
      </c>
      <c r="C54" s="6" t="inlineStr"/>
    </row>
    <row r="55">
      <c r="A55" s="11" t="inlineStr">
        <is>
          <t>CAC（隨車成交）</t>
        </is>
      </c>
      <c r="B55" s="7" t="n">
        <v>30</v>
      </c>
      <c r="C55" s="6" t="inlineStr"/>
    </row>
    <row r="56">
      <c r="A56" s="11" t="inlineStr">
        <is>
          <t>期末電池殘值率</t>
        </is>
      </c>
      <c r="B56" s="8" t="n">
        <v>0.15</v>
      </c>
      <c r="C56" s="6" t="inlineStr"/>
    </row>
    <row r="57">
      <c r="A57" s="11" t="inlineStr">
        <is>
          <t>營運商目標貢獻率（對淨月費）</t>
        </is>
      </c>
      <c r="B57" s="8" t="n">
        <v>0.25</v>
      </c>
      <c r="C57" s="6" t="inlineStr"/>
    </row>
    <row r="58">
      <c r="A58" s="11" t="inlineStr">
        <is>
          <t>電池落地物流分攤（每顆）</t>
        </is>
      </c>
      <c r="B58" s="7" t="n">
        <v>4</v>
      </c>
      <c r="C58" s="6" t="inlineStr"/>
    </row>
    <row r="59">
      <c r="A59" s="3" t="inlineStr">
        <is>
          <t>D-台灣（NT$）</t>
        </is>
      </c>
      <c r="B59" s="4" t="n"/>
      <c r="C59" s="4" t="n"/>
    </row>
    <row r="60">
      <c r="A60" s="11" t="inlineStr">
        <is>
          <t>VAT / 稅</t>
        </is>
      </c>
      <c r="B60" s="8" t="n">
        <v>0.05</v>
      </c>
      <c r="C60" s="6" t="inlineStr">
        <is>
          <t>假設值；Gogoro 電池服務 NT$319–1,269/月為消費者錨點；台灣無自行車訂閱先例</t>
        </is>
      </c>
    </row>
    <row r="61">
      <c r="A61" s="11" t="inlineStr">
        <is>
          <t>呆帳率</t>
        </is>
      </c>
      <c r="B61" s="8" t="n">
        <v>0.04</v>
      </c>
      <c r="C61" s="6" t="inlineStr"/>
    </row>
    <row r="62">
      <c r="A62" s="11" t="inlineStr">
        <is>
          <t>金流手續費</t>
        </is>
      </c>
      <c r="B62" s="8" t="n">
        <v>0.02</v>
      </c>
      <c r="C62" s="6" t="inlineStr"/>
    </row>
    <row r="63">
      <c r="A63" s="11" t="inlineStr">
        <is>
          <t>客服/APP/雲端（每戶/月）</t>
        </is>
      </c>
      <c r="B63" s="7" t="n">
        <v>30</v>
      </c>
      <c r="C63" s="6" t="inlineStr"/>
    </row>
    <row r="64">
      <c r="A64" s="11" t="inlineStr">
        <is>
          <t>維修與物流準備（每戶/月）</t>
        </is>
      </c>
      <c r="B64" s="7" t="n">
        <v>8</v>
      </c>
      <c r="C64" s="6" t="inlineStr"/>
    </row>
    <row r="65">
      <c r="A65" s="11" t="inlineStr">
        <is>
          <t>失竊補償準備（每戶/月）</t>
        </is>
      </c>
      <c r="B65" s="7" t="n">
        <v>15</v>
      </c>
      <c r="C65" s="6" t="inlineStr"/>
    </row>
    <row r="66">
      <c r="A66" s="11" t="inlineStr">
        <is>
          <t>電池更換週期（月）</t>
        </is>
      </c>
      <c r="B66" s="7" t="n">
        <v>48</v>
      </c>
      <c r="C66" s="6" t="inlineStr"/>
    </row>
    <row r="67">
      <c r="A67" s="11" t="inlineStr">
        <is>
          <t>更換物流（每次，經銷點）</t>
        </is>
      </c>
      <c r="B67" s="7" t="n">
        <v>300</v>
      </c>
      <c r="C67" s="6" t="inlineStr"/>
    </row>
    <row r="68">
      <c r="A68" s="11" t="inlineStr">
        <is>
          <t>訂閱壽命（月）</t>
        </is>
      </c>
      <c r="B68" s="7" t="n">
        <v>36</v>
      </c>
      <c r="C68" s="6" t="inlineStr"/>
    </row>
    <row r="69">
      <c r="A69" s="11" t="inlineStr">
        <is>
          <t>CAC（隨車成交）</t>
        </is>
      </c>
      <c r="B69" s="7" t="n">
        <v>800</v>
      </c>
      <c r="C69" s="6" t="inlineStr"/>
    </row>
    <row r="70">
      <c r="A70" s="11" t="inlineStr">
        <is>
          <t>期末電池殘值率</t>
        </is>
      </c>
      <c r="B70" s="8" t="n">
        <v>0.15</v>
      </c>
      <c r="C70" s="6" t="inlineStr"/>
    </row>
    <row r="71">
      <c r="A71" s="11" t="inlineStr">
        <is>
          <t>營運商目標貢獻率（對淨月費）</t>
        </is>
      </c>
      <c r="B71" s="8" t="n">
        <v>0.25</v>
      </c>
      <c r="C71" s="6" t="inlineStr"/>
    </row>
    <row r="72">
      <c r="A72" s="11" t="inlineStr">
        <is>
          <t>電池落地物流分攤（每顆）</t>
        </is>
      </c>
      <c r="B72" s="7" t="n">
        <v>100</v>
      </c>
      <c r="C72" s="6" t="inlineStr"/>
    </row>
    <row r="73">
      <c r="A73" s="3" t="inlineStr">
        <is>
          <t>D-日本（JPY）</t>
        </is>
      </c>
      <c r="B73" s="4" t="n"/>
      <c r="C73" s="4" t="n"/>
    </row>
    <row r="74">
      <c r="A74" s="11" t="inlineStr">
        <is>
          <t>VAT / 稅</t>
        </is>
      </c>
      <c r="B74" s="8" t="n">
        <v>0.1</v>
      </c>
      <c r="C74" s="6" t="inlineStr">
        <is>
          <t>V3 分頁 9：NORUDE 盜難補償 ¥700/月為加購；B2B2C 通路（電鐵/電力/物管）CAC 趨近零，取 ¥3,000</t>
        </is>
      </c>
    </row>
    <row r="75">
      <c r="A75" s="11" t="inlineStr">
        <is>
          <t>呆帳率</t>
        </is>
      </c>
      <c r="B75" s="8" t="n">
        <v>0.03</v>
      </c>
      <c r="C75" s="6" t="inlineStr"/>
    </row>
    <row r="76">
      <c r="A76" s="11" t="inlineStr">
        <is>
          <t>金流手續費</t>
        </is>
      </c>
      <c r="B76" s="8" t="n">
        <v>0.035</v>
      </c>
      <c r="C76" s="6" t="inlineStr"/>
    </row>
    <row r="77">
      <c r="A77" s="11" t="inlineStr">
        <is>
          <t>客服/APP/雲端（每戶/月）</t>
        </is>
      </c>
      <c r="B77" s="7" t="n">
        <v>100</v>
      </c>
      <c r="C77" s="6" t="inlineStr"/>
    </row>
    <row r="78">
      <c r="A78" s="11" t="inlineStr">
        <is>
          <t>維修與物流準備（每戶/月）</t>
        </is>
      </c>
      <c r="B78" s="7" t="n">
        <v>60</v>
      </c>
      <c r="C78" s="6" t="inlineStr"/>
    </row>
    <row r="79">
      <c r="A79" s="11" t="inlineStr">
        <is>
          <t>失竊補償準備（每戶/月）</t>
        </is>
      </c>
      <c r="B79" s="7" t="n">
        <v>80</v>
      </c>
      <c r="C79" s="6" t="inlineStr"/>
    </row>
    <row r="80">
      <c r="A80" s="11" t="inlineStr">
        <is>
          <t>電池更換週期（月）</t>
        </is>
      </c>
      <c r="B80" s="7" t="n">
        <v>48</v>
      </c>
      <c r="C80" s="6" t="inlineStr"/>
    </row>
    <row r="81">
      <c r="A81" s="11" t="inlineStr">
        <is>
          <t>更換物流（每次，經銷點）</t>
        </is>
      </c>
      <c r="B81" s="7" t="n">
        <v>3000</v>
      </c>
      <c r="C81" s="6" t="inlineStr"/>
    </row>
    <row r="82">
      <c r="A82" s="11" t="inlineStr">
        <is>
          <t>訂閱壽命（月）</t>
        </is>
      </c>
      <c r="B82" s="7" t="n">
        <v>36</v>
      </c>
      <c r="C82" s="6" t="inlineStr"/>
    </row>
    <row r="83">
      <c r="A83" s="11" t="inlineStr">
        <is>
          <t>CAC（B2B2C 通路）</t>
        </is>
      </c>
      <c r="B83" s="7" t="n">
        <v>3000</v>
      </c>
      <c r="C83" s="6" t="inlineStr"/>
    </row>
    <row r="84">
      <c r="A84" s="11" t="inlineStr">
        <is>
          <t>期末電池殘值率</t>
        </is>
      </c>
      <c r="B84" s="8" t="n">
        <v>0.15</v>
      </c>
      <c r="C84" s="6" t="inlineStr"/>
    </row>
    <row r="85">
      <c r="A85" s="11" t="inlineStr">
        <is>
          <t>營運商目標貢獻率（對淨月費）</t>
        </is>
      </c>
      <c r="B85" s="8" t="n">
        <v>0.25</v>
      </c>
      <c r="C85" s="6" t="inlineStr"/>
    </row>
    <row r="86">
      <c r="A86" s="11" t="inlineStr">
        <is>
          <t>電池落地物流分攤（每顆）</t>
        </is>
      </c>
      <c r="B86" s="7" t="n">
        <v>300</v>
      </c>
      <c r="C86" s="6" t="inlineStr"/>
    </row>
    <row r="88">
      <c r="A88" s="3" t="inlineStr">
        <is>
          <t>E. 輪內可拆（分體花鼓母模）方案假設</t>
        </is>
      </c>
      <c r="B88" s="4" t="n"/>
      <c r="C88" s="4" t="n"/>
    </row>
    <row r="89">
      <c r="A89" s="5" t="inlineStr">
        <is>
          <t>參數</t>
        </is>
      </c>
      <c r="B89" s="5" t="inlineStr">
        <is>
          <t>值</t>
        </is>
      </c>
      <c r="C89" s="5" t="inlineStr">
        <is>
          <t>來源</t>
        </is>
      </c>
    </row>
    <row r="90">
      <c r="A90" s="6" t="inlineStr">
        <is>
          <t>輪內母模 180Wh 模組成本（USD，不含 PD3.1）</t>
        </is>
      </c>
      <c r="B90" s="7" t="n">
        <v>78</v>
      </c>
      <c r="C90" s="6" t="inlineStr">
        <is>
          <t>盡調報告第四節重估 US$88 含 PD3.1 雙向 buck-boost US$10；扣除後 78（電芯 28 + BMS 8 + 鍍金冠簧/卡口/氟膠/CNC 鋁殼 42）</t>
        </is>
      </c>
    </row>
    <row r="91">
      <c r="A91" s="6" t="inlineStr">
        <is>
          <t>USD / RMB</t>
        </is>
      </c>
      <c r="B91" s="9" t="n">
        <v>7.05</v>
      </c>
      <c r="C91" s="6" t="inlineStr">
        <is>
          <t>V3 B6</t>
        </is>
      </c>
    </row>
    <row r="92">
      <c r="A92" s="6" t="inlineStr">
        <is>
          <t>客製分體公模馬達（含卡口與導電環，RMB）</t>
        </is>
      </c>
      <c r="B92" s="7" t="n">
        <v>500</v>
      </c>
      <c r="C92" s="6" t="inlineStr">
        <is>
          <t>V3 分頁 6：TK-06U 級距合理估 RMB 400–600</t>
        </is>
      </c>
    </row>
    <row r="93">
      <c r="A93" s="6" t="inlineStr">
        <is>
          <t>商品化 250W 齒輪輪轂（RMB）</t>
        </is>
      </c>
      <c r="B93" s="7" t="n">
        <v>205</v>
      </c>
      <c r="C93" s="6" t="inlineStr">
        <is>
          <t>V3 C28</t>
        </is>
      </c>
    </row>
    <row r="94">
      <c r="A94" s="6" t="inlineStr">
        <is>
          <t>車架後下叉間隙特製（RMB/台）</t>
        </is>
      </c>
      <c r="B94" s="7" t="n">
        <v>28</v>
      </c>
      <c r="C94" s="6" t="inlineStr">
        <is>
          <t>盡調報告：車架 US$58→62（+US$4）</t>
        </is>
      </c>
    </row>
    <row r="95">
      <c r="A95" s="6" t="inlineStr">
        <is>
          <t>IP67 組裝、扭力管制與氣密測試增額（RMB/台）</t>
        </is>
      </c>
      <c r="B95" s="7" t="n">
        <v>32</v>
      </c>
      <c r="C95" s="6" t="inlineStr">
        <is>
          <t>盡調報告：包裝組裝 US$9.5→14（+US$4.5）</t>
        </is>
      </c>
    </row>
    <row r="96">
      <c r="A96" s="6" t="inlineStr">
        <is>
          <t>編輪偏擺處理與檢驗增額（RMB/台）</t>
        </is>
      </c>
      <c r="B96" s="7" t="n">
        <v>15</v>
      </c>
      <c r="C96" s="6" t="inlineStr">
        <is>
          <t>假設：兩側法蘭同在公模，輪組偏擺（盡調矛盾 4）</t>
        </is>
      </c>
    </row>
    <row r="97">
      <c r="A97" s="6" t="inlineStr">
        <is>
          <t>模具與專屬認證 NRE（USD）</t>
        </is>
      </c>
      <c r="B97" s="7" t="n">
        <v>250000</v>
      </c>
      <c r="C97" s="6" t="inlineStr">
        <is>
          <t>假設：公母模壓鑄/CNC 模具 + 卡口/導電環驗證 + 重做 EN 15194/EN 50604 系統認證</t>
        </is>
      </c>
    </row>
    <row r="98">
      <c r="A98" s="6" t="inlineStr">
        <is>
          <t>NRE 攤提量（台）</t>
        </is>
      </c>
      <c r="B98" s="7" t="n">
        <v>100000</v>
      </c>
      <c r="C98" s="6" t="inlineStr">
        <is>
          <t>10 萬台/年 × 1 年（保守：以首年量攤提）</t>
        </is>
      </c>
    </row>
    <row r="99">
      <c r="A99" s="6" t="inlineStr">
        <is>
          <t>輪內電池因受熱之更換週期（月）</t>
        </is>
      </c>
      <c r="B99" s="7" t="n">
        <v>36</v>
      </c>
      <c r="C99" s="6" t="inlineStr">
        <is>
          <t>盡調矛盾 3：馬達 60–90°C 傳導 + 電池 I²R；台日夏季更差。48→36</t>
        </is>
      </c>
    </row>
    <row r="100">
      <c r="A100" s="6" t="inlineStr">
        <is>
          <t>車架包電芯層級可更換設計增額（RMB/包）</t>
        </is>
      </c>
      <c r="B100" s="7" t="n">
        <v>20</v>
      </c>
      <c r="C100" s="6" t="inlineStr">
        <is>
          <t>假設：螺絲殼體 + 電芯座/彈簧接點取代點焊鎳片；歐盟電池法 Art.11（2027/2/18）</t>
        </is>
      </c>
    </row>
    <row r="101">
      <c r="A101" s="6" t="inlineStr">
        <is>
          <t>車架包電芯級可更換之翻新成本（佔新品）</t>
        </is>
      </c>
      <c r="B101" s="8" t="n">
        <v>0.3</v>
      </c>
      <c r="C101" s="6" t="inlineStr">
        <is>
          <t>V3 分頁 5：翻新成本降至新品 20–30%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入手價：把電池與充電器移出整車後，各市場的出廠價與零售價</t>
        </is>
      </c>
    </row>
    <row r="2">
      <c r="A2" s="2" t="inlineStr">
        <is>
          <t>單位依欄標。配置 C 為本次計算重點；A、B 為 V3 既有基準的對照。</t>
        </is>
      </c>
    </row>
    <row r="4">
      <c r="A4" s="3" t="inlineStr">
        <is>
          <t>A. 材料與出廠價（RMB）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配置</t>
        </is>
      </c>
      <c r="B5" s="5" t="inlineStr">
        <is>
          <t>材料 RMB</t>
        </is>
      </c>
      <c r="C5" s="5" t="inlineStr">
        <is>
          <t>出廠 @13%</t>
        </is>
      </c>
      <c r="D5" s="5" t="inlineStr">
        <is>
          <t>出廠 @18%</t>
        </is>
      </c>
      <c r="E5" s="5" t="inlineStr">
        <is>
          <t>NT$ 出廠 @13%</t>
        </is>
      </c>
      <c r="F5" s="5" t="inlineStr">
        <is>
          <t>NT$ 出廠 @18%</t>
        </is>
      </c>
      <c r="G5" s="5" t="inlineStr"/>
      <c r="H5" s="5" t="inlineStr"/>
      <c r="I5" s="5" t="inlineStr">
        <is>
          <t>說明</t>
        </is>
      </c>
    </row>
    <row r="6">
      <c r="A6" s="6" t="inlineStr">
        <is>
          <t>A 極簡 180Wh 含電池含充電器（V3 基準）</t>
        </is>
      </c>
      <c r="B6" s="12">
        <f>假設!$B$6</f>
        <v>1121.0</v>
      </c>
      <c r="C6" s="13">
        <f>(B6+假設!$B$7)/(1-假設!$B$8)</f>
        <v>1313.7931034482758</v>
      </c>
      <c r="D6" s="12">
        <f>(B6+假設!$B$7)/(1-假設!$B$9)</f>
        <v>1393.90243902439</v>
      </c>
      <c r="E6" s="12">
        <f>C6*假設!$B$20</f>
        <v>5964.620689655172</v>
      </c>
      <c r="F6" s="12">
        <f>D6*假設!$B$20</f>
        <v>6328.317073170731</v>
      </c>
      <c r="G6" s="11" t="inlineStr"/>
      <c r="H6" s="11" t="inlineStr"/>
      <c r="I6" s="6" t="inlineStr">
        <is>
          <t>V3 分頁 3 C6：RMB 1,314</t>
        </is>
      </c>
    </row>
    <row r="7">
      <c r="A7" s="6" t="inlineStr">
        <is>
          <t>B 不含電池、含充電器（V3 分頁 10）</t>
        </is>
      </c>
      <c r="B7" s="12">
        <f>假設!$B$6-((180)*假設!$B$10+假設!$B$11)*(1+假設!$B$12)</f>
        <v>839.216</v>
      </c>
      <c r="C7" s="13">
        <f>(B7+假設!$B$7)/(1-假設!$B$8)</f>
        <v>989.903448275862</v>
      </c>
      <c r="D7" s="12">
        <f>(B7+假設!$B$7)/(1-假設!$B$9)</f>
        <v>1050.2634146341463</v>
      </c>
      <c r="E7" s="12">
        <f>C7*假設!$B$20</f>
        <v>4494.161655172414</v>
      </c>
      <c r="F7" s="12">
        <f>D7*假設!$B$20</f>
        <v>4768.195902439024</v>
      </c>
      <c r="G7" s="11" t="inlineStr"/>
      <c r="H7" s="11" t="inlineStr"/>
      <c r="I7" s="6" t="inlineStr">
        <is>
          <t>V3 分頁 10 C32：材料 839</t>
        </is>
      </c>
    </row>
    <row r="8">
      <c r="A8" s="6" t="inlineStr">
        <is>
          <t>C 不含電池、不含充電器（本次）</t>
        </is>
      </c>
      <c r="B8" s="12">
        <f>假設!$B$6-((180)*假設!$B$10+假設!$B$11)*(1+假設!$B$12)-假設!$B$13</f>
        <v>799.216</v>
      </c>
      <c r="C8" s="13">
        <f>(B8+假設!$B$7)/(1-假設!$B$8)</f>
        <v>943.9264367816093</v>
      </c>
      <c r="D8" s="12">
        <f>(B8+假設!$B$7)/(1-假設!$B$9)</f>
        <v>1001.4829268292682</v>
      </c>
      <c r="E8" s="12">
        <f>C8*假設!$B$20</f>
        <v>4285.426022988506</v>
      </c>
      <c r="F8" s="12">
        <f>D8*假設!$B$20</f>
        <v>4546.732487804878</v>
      </c>
      <c r="G8" s="11" t="inlineStr"/>
      <c r="H8" s="11" t="inlineStr"/>
      <c r="I8" s="6" t="inlineStr">
        <is>
          <t>電池與充電器皆為訂閱資產</t>
        </is>
      </c>
    </row>
    <row r="9">
      <c r="A9" s="6" t="inlineStr">
        <is>
          <t>D 日本版 C（力矩感測，電池 144Wh 訂閱）</t>
        </is>
      </c>
      <c r="B9" s="12">
        <f>假設!$B$6-((180)*假設!$B$10+假設!$B$11)*(1+假設!$B$12)-假設!$B$13+假設!$B$14+假設!$B$15</f>
        <v>966.516</v>
      </c>
      <c r="C9" s="13">
        <f>(B9+假設!$B$7)/(1-假設!$B$8)</f>
        <v>1136.2252873563218</v>
      </c>
      <c r="D9" s="12">
        <f>(B9+假設!$B$7)/(1-假設!$B$9)</f>
        <v>1205.5073170731705</v>
      </c>
      <c r="E9" s="12">
        <f>C9*假設!$B$20</f>
        <v>5158.4628045977015</v>
      </c>
      <c r="F9" s="12">
        <f>D9*假設!$B$20</f>
        <v>5473.003219512194</v>
      </c>
      <c r="G9" s="11" t="inlineStr"/>
      <c r="H9" s="11" t="inlineStr"/>
      <c r="I9" s="6" t="inlineStr">
        <is>
          <t>V3 分頁 7：力矩 +160、非 BOM +7.3；電池降配 144Wh 在訂閱側</t>
        </is>
      </c>
    </row>
    <row r="10">
      <c r="A10" s="11" t="inlineStr">
        <is>
          <t>C 對 A 的出廠價降幅</t>
        </is>
      </c>
      <c r="C10" s="14">
        <f>1-C8/C6</f>
        <v>0.28152580927384074</v>
      </c>
      <c r="I10" s="11" t="inlineStr">
        <is>
          <t>電池 + 充電器移出後，車體出廠價降 28%</t>
        </is>
      </c>
    </row>
    <row r="11">
      <c r="A11" s="11" t="inlineStr">
        <is>
          <t>訂閱資產：180Wh 電池 + 充電器（RMB）</t>
        </is>
      </c>
      <c r="B11" s="12">
        <f>((180)*假設!$B$10+假設!$B$11)*(1+假設!$B$12)+假設!$B$13</f>
        <v>321.784</v>
      </c>
      <c r="I11" s="11" t="inlineStr">
        <is>
          <t>電池 282 + 充電器 40</t>
        </is>
      </c>
    </row>
    <row r="13">
      <c r="A13" s="3" t="inlineStr">
        <is>
          <t>B. 歐洲與台灣零售（配置 C）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>
        <is>
          <t>項目</t>
        </is>
      </c>
      <c r="B14" s="5" t="inlineStr">
        <is>
          <t>歐洲 €</t>
        </is>
      </c>
      <c r="C14" s="5" t="inlineStr">
        <is>
          <t>台灣 NT$</t>
        </is>
      </c>
      <c r="D14" s="5" t="inlineStr"/>
      <c r="E14" s="5" t="inlineStr"/>
      <c r="F14" s="5" t="inlineStr"/>
      <c r="G14" s="5" t="inlineStr"/>
      <c r="H14" s="5" t="inlineStr"/>
      <c r="I14" s="5" t="inlineStr">
        <is>
          <t>公式 / 對照</t>
        </is>
      </c>
    </row>
    <row r="15">
      <c r="A15" s="11" t="inlineStr">
        <is>
          <t>出廠價（配置 C，ODM 13%）</t>
        </is>
      </c>
      <c r="B15" s="15">
        <f>C8/假設!$B$19</f>
        <v>87.40059599829715</v>
      </c>
      <c r="C15" s="12">
        <f>E8</f>
        <v>4285.426022988506</v>
      </c>
      <c r="I15" s="11" t="inlineStr">
        <is>
          <t>RMB ÷ 10.8；NT$ 直接取</t>
        </is>
      </c>
    </row>
    <row r="16">
      <c r="A16" s="11" t="inlineStr">
        <is>
          <t>落地成本（歐洲：關稅 6% + €8；台灣：假設 +NT$150 運費）</t>
        </is>
      </c>
      <c r="B16" s="15">
        <f>B15*(1+假設!$B$25)+假設!$B$26</f>
        <v>100.64463175819498</v>
      </c>
      <c r="C16" s="12">
        <f>C15+150</f>
        <v>4435.426022988506</v>
      </c>
      <c r="I16" s="11" t="inlineStr">
        <is>
          <t>V3 分頁 10 D36 結構</t>
        </is>
      </c>
    </row>
    <row r="17">
      <c r="A17" s="16" t="inlineStr">
        <is>
          <t>DTC 零售（含稅）</t>
        </is>
      </c>
      <c r="B17" s="13">
        <f>B16/(1-假設!$B$27)*(1+假設!$B$46)</f>
        <v>184.25709506500309</v>
      </c>
      <c r="C17" s="13">
        <f>C16/(1-假設!$B$30)*(1+假設!$B$31)</f>
        <v>7164.9189602122015</v>
      </c>
      <c r="I17" s="11" t="inlineStr">
        <is>
          <t>＝ 落地 ÷ (1 − 35%) × (1 + 稅)</t>
        </is>
      </c>
    </row>
    <row r="18">
      <c r="A18" s="11" t="inlineStr">
        <is>
          <t>經銷零售（含稅，歐洲抽 38%）</t>
        </is>
      </c>
      <c r="B18" s="12">
        <f>B16/(1-假設!$B$27)/(1-假設!$B$28)*(1+假設!$B$46)</f>
        <v>297.1888630080695</v>
      </c>
      <c r="C18" s="12">
        <f>C16/(1-假設!$B$30)/(1-0.30)*(1+假設!$B$31)</f>
        <v>10235.59851458886</v>
      </c>
      <c r="I18" s="11" t="inlineStr">
        <is>
          <t>台灣經銷以抽 30% 假設</t>
        </is>
      </c>
    </row>
    <row r="19">
      <c r="A19" s="11" t="inlineStr">
        <is>
          <t>對照：市場最低價合法 e-bike 買斷</t>
        </is>
      </c>
      <c r="B19" s="7" t="n">
        <v>699</v>
      </c>
      <c r="C19" s="7" t="n">
        <v>15000</v>
      </c>
      <c r="I19" s="11" t="inlineStr">
        <is>
          <t>歐洲 Action E200 / Lidl €699；台灣入門電輔車約 NT$15,000（假設，內需無公開統計）</t>
        </is>
      </c>
    </row>
    <row r="20">
      <c r="A20" s="11" t="inlineStr">
        <is>
          <t>對照：一般（非電動）自行車均價</t>
        </is>
      </c>
      <c r="B20" s="7" t="n">
        <v>500</v>
      </c>
      <c r="C20" s="7" t="n">
        <v>5500</v>
      </c>
      <c r="I20" s="11" t="inlineStr">
        <is>
          <t>德國 ZIV 2025 €500；台灣通勤/淑女車 NT$4,000–7,000（V3 分頁 10）</t>
        </is>
      </c>
    </row>
    <row r="21">
      <c r="A21" s="16" t="inlineStr">
        <is>
          <t>DTC 入手價 vs 最低價 e-bike</t>
        </is>
      </c>
      <c r="B21" s="14">
        <f>B17/B19-1</f>
        <v>-0.7363990056294663</v>
      </c>
      <c r="C21" s="14">
        <f>C17/C19-1</f>
        <v>-0.5223387359858532</v>
      </c>
      <c r="I21" s="11" t="inlineStr">
        <is>
          <t>負值 = 入手價低於對照</t>
        </is>
      </c>
    </row>
    <row r="22">
      <c r="A22" s="11" t="inlineStr">
        <is>
          <t>DTC 入手價 vs 一般自行車</t>
        </is>
      </c>
      <c r="B22" s="17">
        <f>B17/B20-1</f>
        <v>-0.6314858098699938</v>
      </c>
      <c r="C22" s="17">
        <f>C17/C20-1</f>
        <v>0.30271253822040034</v>
      </c>
      <c r="I22" s="11" t="inlineStr">
        <is>
          <t>V3「反向滲透」檢核：歐洲成立、台灣勉強</t>
        </is>
      </c>
    </row>
    <row r="24">
      <c r="A24" s="3" t="inlineStr">
        <is>
          <t>C. 日本零售（配置 D，V3 分頁 8 結構）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項目</t>
        </is>
      </c>
      <c r="B25" s="5" t="inlineStr">
        <is>
          <t>¥/台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>
        <is>
          <t>說明</t>
        </is>
      </c>
    </row>
    <row r="26">
      <c r="A26" s="11" t="inlineStr">
        <is>
          <t>出廠價（配置 D，ODM 13%，RMB）</t>
        </is>
      </c>
      <c r="B26" s="12">
        <f>C9</f>
        <v>1136.2252873563218</v>
      </c>
      <c r="I26" s="11" t="inlineStr"/>
    </row>
    <row r="27">
      <c r="A27" s="11" t="inlineStr">
        <is>
          <t>出廠價（¥）</t>
        </is>
      </c>
      <c r="B27" s="12">
        <f>B26*假設!$B$21</f>
        <v>26701.294252873562</v>
      </c>
    </row>
    <row r="28">
      <c r="A28" s="11" t="inlineStr">
        <is>
          <t>CIF（+4% 報關 + 海運保險）</t>
        </is>
      </c>
      <c r="B28" s="12">
        <f>B27*(1+假設!$B$32)+假設!$B$33</f>
        <v>29569.346022988506</v>
      </c>
    </row>
    <row r="29">
      <c r="A29" s="11" t="inlineStr">
        <is>
          <t>進口商全載成本（+通關 + PSE + PDI；關稅 0%）</t>
        </is>
      </c>
      <c r="B29" s="12">
        <f>B28+假設!$B$34+假設!$B$35+假設!$B$36</f>
        <v>34469.34602298851</v>
      </c>
      <c r="I29" s="11" t="inlineStr">
        <is>
          <t>V3：HS 8711.60 無稅；消費稅可扣抵不計</t>
        </is>
      </c>
    </row>
    <row r="30">
      <c r="A30" s="16" t="inlineStr">
        <is>
          <t>情境 3：通路自有品牌 PB 零售（税込）</t>
        </is>
      </c>
      <c r="B30" s="13">
        <f>(B29-假設!$B$37)/(1-假設!$B$38)*(1+假設!$B$41)</f>
        <v>48666.11517898195</v>
      </c>
      <c r="I30" s="11" t="inlineStr">
        <is>
          <t>V3 情境 3 已用 Cainz ¥59,800 / ドンキ ¥65,780 校準</t>
        </is>
      </c>
    </row>
    <row r="31">
      <c r="A31" s="11" t="inlineStr">
        <is>
          <t>情境 2：BESV 壓縮毛利 15% + 經銷 22%（税込）</t>
        </is>
      </c>
      <c r="B31" s="12">
        <f>B29/(1-假設!$B$39)/(1-假設!$B$40)*(1+假設!$B$41)</f>
        <v>57188.96021913629</v>
      </c>
    </row>
    <row r="32">
      <c r="A32" s="11" t="inlineStr">
        <is>
          <t>對照：Cainz PB ¥59,800／Panasonic ビビ EYX ¥89,800／NORUDE ¥2,890×36</t>
        </is>
      </c>
      <c r="B32" s="7" t="n">
        <v>59800</v>
      </c>
      <c r="I32" s="11" t="inlineStr">
        <is>
          <t>V3 分頁 8 C 段</t>
        </is>
      </c>
    </row>
    <row r="33">
      <c r="A33" s="11" t="inlineStr">
        <is>
          <t>PB 入手價 vs Cainz</t>
        </is>
      </c>
      <c r="B33" s="14">
        <f>B30/B32-1</f>
        <v>-0.1861853648999674</v>
      </c>
      <c r="I33" s="11" t="inlineStr">
        <is>
          <t>電池不在車價內，PB 通路入手價可低於現有最低價帶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40" customWidth="1" min="11" max="11"/>
  </cols>
  <sheetData>
    <row r="1">
      <c r="A1" s="1" t="inlineStr">
        <is>
          <t>電池訂閱費：成本堆疊定價（三市場 × 三容量）</t>
        </is>
      </c>
    </row>
    <row r="2">
      <c r="A2" s="2" t="inlineStr">
        <is>
          <t>建議月費 = [資產攤提 + 更換準備 + 失竊 + 客服 + 維修物流 + CAC 攤提] ÷ (1 − 目標貢獻率) ÷ (1 − 呆帳 − 金流) × (1 + 稅)。再以「建議定價（取整）」回算貢獻與淨值。</t>
        </is>
      </c>
    </row>
    <row r="4">
      <c r="A4" s="3" t="inlineStr">
        <is>
          <t>歐洲 €（每戶每月）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5" t="inlineStr">
        <is>
          <t>項目</t>
        </is>
      </c>
      <c r="B5" s="5" t="inlineStr">
        <is>
          <t>180 Wh</t>
        </is>
      </c>
      <c r="C5" s="5" t="inlineStr">
        <is>
          <t>250 Wh</t>
        </is>
      </c>
      <c r="D5" s="5" t="inlineStr">
        <is>
          <t>360 Wh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公式 / 說明</t>
        </is>
      </c>
    </row>
    <row r="6">
      <c r="A6" s="11" t="inlineStr">
        <is>
          <t>電池包 FOB（RMB）</t>
        </is>
      </c>
      <c r="B6" s="12">
        <f>((180)*假設!$B$10+假設!$B$11)*(1+假設!$B$12)</f>
        <v>281.784</v>
      </c>
      <c r="C6" s="12">
        <f>((250)*假設!$B$10+假設!$B$11)*(1+假設!$B$12)</f>
        <v>336.29999999999995</v>
      </c>
      <c r="D6" s="12">
        <f>((360)*假設!$B$10+假設!$B$11)*(1+假設!$B$12)</f>
        <v>421.968</v>
      </c>
      <c r="K6" s="11" t="inlineStr">
        <is>
          <t>V3 成本函數 (Wh×0.66+120)×1.18</t>
        </is>
      </c>
    </row>
    <row r="7">
      <c r="A7" s="11" t="inlineStr">
        <is>
          <t>電池落地成本（當地幣）</t>
        </is>
      </c>
      <c r="B7" s="15">
        <f>B6/假設!$B$19*(1+假設!$B$25)+假設!$B$58</f>
        <v>31.656577777777777</v>
      </c>
      <c r="C7" s="15">
        <f>C6/假設!$B$19*(1+假設!$B$25)+假設!$B$58</f>
        <v>37.00722222222222</v>
      </c>
      <c r="D7" s="15">
        <f>D6/假設!$B$19*(1+假設!$B$25)+假設!$B$58</f>
        <v>45.41537777777778</v>
      </c>
      <c r="K7" s="11" t="inlineStr">
        <is>
          <t>RMB / 10.8 × 1.06 + 物流分攤</t>
        </is>
      </c>
    </row>
    <row r="8">
      <c r="A8" s="11" t="inlineStr">
        <is>
          <t>充電器落地成本（當地幣）</t>
        </is>
      </c>
      <c r="B8" s="15">
        <f>假設!$B$13/假設!$B$19*(1+假設!$B$25)</f>
        <v>3.9259259259259256</v>
      </c>
      <c r="C8" s="15">
        <f>假設!$B$13/假設!$B$19*(1+假設!$B$25)</f>
        <v>3.9259259259259256</v>
      </c>
      <c r="D8" s="15">
        <f>假設!$B$13/假設!$B$19*(1+假設!$B$25)</f>
        <v>3.9259259259259256</v>
      </c>
      <c r="K8" s="11" t="inlineStr">
        <is>
          <t>日本充電器為 ◇PSE 特定電気用品，認證費另計</t>
        </is>
      </c>
    </row>
    <row r="9">
      <c r="A9" s="16" t="inlineStr">
        <is>
          <t>每戶訂閱資產（電池 + 充電器）</t>
        </is>
      </c>
      <c r="B9" s="18">
        <f>B7+B8</f>
        <v>35.5825037037037</v>
      </c>
      <c r="C9" s="18">
        <f>C7+C8</f>
        <v>40.93314814814814</v>
      </c>
      <c r="D9" s="18">
        <f>D7+D8</f>
        <v>49.3413037037037</v>
      </c>
      <c r="K9" s="11" t="inlineStr">
        <is>
          <t>對照 V3 分頁 10：三電訂閱資產 €69、電池 €32</t>
        </is>
      </c>
    </row>
    <row r="10">
      <c r="A10" s="11" t="inlineStr">
        <is>
          <t>① 電池資產攤提 = 資產 × (1 − 殘值) ÷ 壽命</t>
        </is>
      </c>
      <c r="B10" s="19">
        <f>B7*(1-假設!$B$56)/假設!$B$54</f>
        <v>0.7474469753086419</v>
      </c>
      <c r="C10" s="19">
        <f>C7*(1-假設!$B$56)/假設!$B$54</f>
        <v>0.873781635802469</v>
      </c>
      <c r="D10" s="19">
        <f>D7*(1-假設!$B$56)/假設!$B$54</f>
        <v>1.0723075308641976</v>
      </c>
      <c r="K10" s="11" t="inlineStr"/>
    </row>
    <row r="11">
      <c r="A11" s="11" t="inlineStr">
        <is>
          <t>② 充電器攤提 = 充電器 ÷ 壽命</t>
        </is>
      </c>
      <c r="B11" s="19">
        <f>B8/假設!$B$54</f>
        <v>0.10905349794238682</v>
      </c>
      <c r="C11" s="19">
        <f>C8/假設!$B$54</f>
        <v>0.10905349794238682</v>
      </c>
      <c r="D11" s="19">
        <f>D8/假設!$B$54</f>
        <v>0.10905349794238682</v>
      </c>
    </row>
    <row r="12">
      <c r="A12" s="11" t="inlineStr">
        <is>
          <t>③ 電池更換準備 = (電池 + 更換物流) ÷ 更換週期</t>
        </is>
      </c>
      <c r="B12" s="19">
        <f>(B7+假設!$B$53)/假設!$B$52</f>
        <v>1.284512037037037</v>
      </c>
      <c r="C12" s="19">
        <f>(C7+假設!$B$53)/假設!$B$52</f>
        <v>1.3959837962962964</v>
      </c>
      <c r="D12" s="19">
        <f>(D7+假設!$B$53)/假設!$B$52</f>
        <v>1.5711537037037038</v>
      </c>
      <c r="K12" s="11" t="inlineStr">
        <is>
          <t>SoH &lt; 70% 免費換新的準備金；物流走經銷點（UN3480）</t>
        </is>
      </c>
    </row>
    <row r="13">
      <c r="A13" s="11" t="inlineStr">
        <is>
          <t>④ 失竊補償 + ⑤ 客服/雲端 + ⑥ 維修物流</t>
        </is>
      </c>
      <c r="B13" s="19">
        <f>假設!$B$51+假設!$B$49+假設!$B$50</f>
        <v>1.7</v>
      </c>
      <c r="C13" s="19">
        <f>假設!$B$51+假設!$B$49+假設!$B$50</f>
        <v>1.7</v>
      </c>
      <c r="D13" s="19">
        <f>假設!$B$51+假設!$B$49+假設!$B$50</f>
        <v>1.7</v>
      </c>
      <c r="K13" s="11" t="inlineStr">
        <is>
          <t>按戶固定，不隨電池大小縮小（V3 分頁 9/10 的核心結構）</t>
        </is>
      </c>
    </row>
    <row r="14">
      <c r="A14" s="11" t="inlineStr">
        <is>
          <t>⑦ CAC 攤提 = CAC ÷ 壽命</t>
        </is>
      </c>
      <c r="B14" s="19">
        <f>假設!$B$55/假設!$B$54</f>
        <v>0.8333333333333334</v>
      </c>
      <c r="C14" s="19">
        <f>假設!$B$55/假設!$B$54</f>
        <v>0.8333333333333334</v>
      </c>
      <c r="D14" s="19">
        <f>假設!$B$55/假設!$B$54</f>
        <v>0.8333333333333334</v>
      </c>
    </row>
    <row r="15">
      <c r="A15" s="16" t="inlineStr">
        <is>
          <t>每戶每月成本合計</t>
        </is>
      </c>
      <c r="B15" s="20">
        <f>SUM(B10:B14)</f>
        <v>4.674345843621399</v>
      </c>
      <c r="C15" s="20">
        <f>SUM(C10:C14)</f>
        <v>4.912152263374486</v>
      </c>
      <c r="D15" s="20">
        <f>SUM(D10:D14)</f>
        <v>5.285848065843621</v>
      </c>
    </row>
    <row r="16">
      <c r="A16" s="11" t="inlineStr">
        <is>
          <t>所需淨月費 = 成本 ÷ (1 − 目標貢獻率)</t>
        </is>
      </c>
      <c r="B16" s="19">
        <f>B15/(1-假設!$B$57)</f>
        <v>6.232461124828532</v>
      </c>
      <c r="C16" s="19">
        <f>C15/(1-假設!$B$57)</f>
        <v>6.5495363511659805</v>
      </c>
      <c r="D16" s="19">
        <f>D15/(1-假設!$B$57)</f>
        <v>7.0477974211248275</v>
      </c>
    </row>
    <row r="17">
      <c r="A17" s="16" t="inlineStr">
        <is>
          <t>建議月費（含稅、含呆帳金流）= 淨月費 ÷ (1 − 呆帳 − 金流) × (1 + 稅)</t>
        </is>
      </c>
      <c r="B17" s="21">
        <f>B16/(1-假設!$B$47-假設!$B$48)*(1+假設!$B$46)</f>
        <v>8.105605178738747</v>
      </c>
      <c r="C17" s="21">
        <f>C16/(1-假設!$B$47-假設!$B$48)*(1+假設!$B$46)</f>
        <v>8.517976238128433</v>
      </c>
      <c r="D17" s="21">
        <f>D16/(1-假設!$B$47-假設!$B$48)*(1+假設!$B$46)</f>
        <v>9.165987902883657</v>
      </c>
      <c r="K17" s="11" t="inlineStr">
        <is>
          <t>成本堆疊得出的月費</t>
        </is>
      </c>
    </row>
    <row r="18">
      <c r="A18" s="11" t="inlineStr">
        <is>
          <t>損益兩平月費（貢獻率 0）</t>
        </is>
      </c>
      <c r="B18" s="19">
        <f>B15/(1-假設!$B$47-假設!$B$48)*(1+假設!$B$46)</f>
        <v>6.07920388405406</v>
      </c>
      <c r="C18" s="19">
        <f>C15/(1-假設!$B$47-假設!$B$48)*(1+假設!$B$46)</f>
        <v>6.388482178596326</v>
      </c>
      <c r="D18" s="19">
        <f>D15/(1-假設!$B$47-假設!$B$48)*(1+假設!$B$46)</f>
        <v>6.874490927162742</v>
      </c>
    </row>
    <row r="19">
      <c r="A19" s="16" t="inlineStr">
        <is>
          <t>建議定價（取整，可改）</t>
        </is>
      </c>
      <c r="B19" s="22" t="n">
        <v>7.9</v>
      </c>
      <c r="C19" s="22" t="n">
        <v>9.9</v>
      </c>
      <c r="D19" s="22" t="n">
        <v>12.9</v>
      </c>
      <c r="K19" s="11" t="inlineStr">
        <is>
          <t>對照錨點：歐洲替換電池零售 €120–180；台灣 Gogoro NT$319 起；日本 NORUDE 盜難補償 ¥700/月</t>
        </is>
      </c>
    </row>
    <row r="20">
      <c r="A20" s="11" t="inlineStr">
        <is>
          <t>以定價回算：每戶月貢獻</t>
        </is>
      </c>
      <c r="B20" s="19">
        <f>B19/(1+假設!$B$46)*(1-假設!$B$47-假設!$B$48)-B15+B10+B14</f>
        <v>2.9808042129197356</v>
      </c>
      <c r="C20" s="19">
        <f>C19/(1+假設!$B$46)*(1-假設!$B$47-假設!$B$48)-C15+C10+C14</f>
        <v>4.407147579710896</v>
      </c>
      <c r="D20" s="19">
        <f>D19/(1+假設!$B$46)*(1-假設!$B$47-假設!$B$48)-D15+D10+D14</f>
        <v>6.538700361379119</v>
      </c>
      <c r="K20" s="11" t="inlineStr">
        <is>
          <t>＝ 淨收 − 現金成本（③④⑤⑥；資產與 CAC 另列）</t>
        </is>
      </c>
    </row>
    <row r="21">
      <c r="A21" s="11" t="inlineStr">
        <is>
          <t>資產回收期（月）</t>
        </is>
      </c>
      <c r="B21" s="15">
        <f>IF(B20&gt;0,B9/B20,999)</f>
        <v>11.937215986705207</v>
      </c>
      <c r="C21" s="15">
        <f>IF(C20&gt;0,C9/C20,999)</f>
        <v>9.287900486153747</v>
      </c>
      <c r="D21" s="15">
        <f>IF(D20&gt;0,D9/D20,999)</f>
        <v>7.546041411400111</v>
      </c>
    </row>
    <row r="22">
      <c r="A22" s="16" t="inlineStr">
        <is>
          <t>36 月單戶淨值 = 貢獻 × 壽命 + 殘值 − 資產 − CAC</t>
        </is>
      </c>
      <c r="B22" s="23">
        <f>B20*假設!$B$54+B7*假設!$B$56-B9-假設!$B$55</f>
        <v>46.47493462807344</v>
      </c>
      <c r="C22" s="23">
        <f>C20*假設!$B$54+C7*假設!$B$56-C9-假設!$B$55</f>
        <v>93.27524805477745</v>
      </c>
      <c r="D22" s="23">
        <f>D20*假設!$B$54+D7*假設!$B$56-D9-假設!$B$55</f>
        <v>162.86421597261125</v>
      </c>
    </row>
    <row r="23">
      <c r="A23" s="11" t="inlineStr">
        <is>
          <t>定價 × 36 月合計（消費者視角）</t>
        </is>
      </c>
      <c r="B23" s="15">
        <f>B19*36</f>
        <v>284.40000000000003</v>
      </c>
      <c r="C23" s="15">
        <f>C19*36</f>
        <v>356.40000000000003</v>
      </c>
      <c r="D23" s="15">
        <f>D19*36</f>
        <v>464.40000000000003</v>
      </c>
      <c r="K23" s="11" t="inlineStr">
        <is>
          <t>對照：買斷方案第 4 年換電池 €250 / NT$6,000 / ¥35,000</t>
        </is>
      </c>
    </row>
    <row r="25">
      <c r="A25" s="3" t="inlineStr">
        <is>
          <t>台灣 NT$（每戶每月）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項目</t>
        </is>
      </c>
      <c r="B26" s="5" t="inlineStr">
        <is>
          <t>180 Wh</t>
        </is>
      </c>
      <c r="C26" s="5" t="inlineStr">
        <is>
          <t>250 Wh</t>
        </is>
      </c>
      <c r="D26" s="5" t="inlineStr">
        <is>
          <t>360 Wh</t>
        </is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>
        <is>
          <t>公式 / 說明</t>
        </is>
      </c>
    </row>
    <row r="27">
      <c r="A27" s="11" t="inlineStr">
        <is>
          <t>電池包 FOB（RMB）</t>
        </is>
      </c>
      <c r="B27" s="12">
        <f>((180)*假設!$B$10+假設!$B$11)*(1+假設!$B$12)</f>
        <v>281.784</v>
      </c>
      <c r="C27" s="12">
        <f>((250)*假設!$B$10+假設!$B$11)*(1+假設!$B$12)</f>
        <v>336.29999999999995</v>
      </c>
      <c r="D27" s="12">
        <f>((360)*假設!$B$10+假設!$B$11)*(1+假設!$B$12)</f>
        <v>421.968</v>
      </c>
      <c r="K27" s="11" t="inlineStr">
        <is>
          <t>V3 成本函數 (Wh×0.66+120)×1.18</t>
        </is>
      </c>
    </row>
    <row r="28">
      <c r="A28" s="11" t="inlineStr">
        <is>
          <t>電池落地成本（當地幣）</t>
        </is>
      </c>
      <c r="B28" s="12">
        <f>B27*假設!$B$20+假設!$B$72</f>
        <v>1379.29936</v>
      </c>
      <c r="C28" s="12">
        <f>C27*假設!$B$20+假設!$B$72</f>
        <v>1626.802</v>
      </c>
      <c r="D28" s="12">
        <f>D27*假設!$B$20+假設!$B$72</f>
        <v>2015.7347200000002</v>
      </c>
      <c r="K28" s="11" t="inlineStr">
        <is>
          <t>RMB × 4.54 + 物流分攤</t>
        </is>
      </c>
    </row>
    <row r="29">
      <c r="A29" s="11" t="inlineStr">
        <is>
          <t>充電器落地成本（當地幣）</t>
        </is>
      </c>
      <c r="B29" s="12">
        <f>假設!$B$13*假設!$B$20</f>
        <v>181.6</v>
      </c>
      <c r="C29" s="12">
        <f>假設!$B$13*假設!$B$20</f>
        <v>181.6</v>
      </c>
      <c r="D29" s="12">
        <f>假設!$B$13*假設!$B$20</f>
        <v>181.6</v>
      </c>
      <c r="K29" s="11" t="inlineStr">
        <is>
          <t>日本充電器為 ◇PSE 特定電気用品，認證費另計</t>
        </is>
      </c>
    </row>
    <row r="30">
      <c r="A30" s="16" t="inlineStr">
        <is>
          <t>每戶訂閱資產（電池 + 充電器）</t>
        </is>
      </c>
      <c r="B30" s="24">
        <f>B28+B29</f>
        <v>1560.89936</v>
      </c>
      <c r="C30" s="24">
        <f>C28+C29</f>
        <v>1808.4019999999998</v>
      </c>
      <c r="D30" s="24">
        <f>D28+D29</f>
        <v>2197.3347200000003</v>
      </c>
      <c r="K30" s="11" t="inlineStr">
        <is>
          <t>對照 V3 分頁 10：三電訂閱資產 €69、電池 €32</t>
        </is>
      </c>
    </row>
    <row r="31">
      <c r="A31" s="11" t="inlineStr">
        <is>
          <t>① 電池資產攤提 = 資產 × (1 − 殘值) ÷ 壽命</t>
        </is>
      </c>
      <c r="B31" s="12">
        <f>B28*(1-假設!$B$70)/假設!$B$68</f>
        <v>32.56679044444444</v>
      </c>
      <c r="C31" s="12">
        <f>C28*(1-假設!$B$70)/假設!$B$68</f>
        <v>38.41060277777777</v>
      </c>
      <c r="D31" s="12">
        <f>D28*(1-假設!$B$70)/假設!$B$68</f>
        <v>47.593736444444446</v>
      </c>
      <c r="K31" s="11" t="inlineStr"/>
    </row>
    <row r="32">
      <c r="A32" s="11" t="inlineStr">
        <is>
          <t>② 充電器攤提 = 充電器 ÷ 壽命</t>
        </is>
      </c>
      <c r="B32" s="12">
        <f>B29/假設!$B$68</f>
        <v>5.044444444444444</v>
      </c>
      <c r="C32" s="12">
        <f>C29/假設!$B$68</f>
        <v>5.044444444444444</v>
      </c>
      <c r="D32" s="12">
        <f>D29/假設!$B$68</f>
        <v>5.044444444444444</v>
      </c>
    </row>
    <row r="33">
      <c r="A33" s="11" t="inlineStr">
        <is>
          <t>③ 電池更換準備 = (電池 + 更換物流) ÷ 更換週期</t>
        </is>
      </c>
      <c r="B33" s="12">
        <f>(B28+假設!$B$67)/假設!$B$66</f>
        <v>34.98540333333333</v>
      </c>
      <c r="C33" s="12">
        <f>(C28+假設!$B$67)/假設!$B$66</f>
        <v>40.141708333333334</v>
      </c>
      <c r="D33" s="12">
        <f>(D28+假設!$B$67)/假設!$B$66</f>
        <v>48.24447333333334</v>
      </c>
      <c r="K33" s="11" t="inlineStr">
        <is>
          <t>SoH &lt; 70% 免費換新的準備金；物流走經銷點（UN3480）</t>
        </is>
      </c>
    </row>
    <row r="34">
      <c r="A34" s="11" t="inlineStr">
        <is>
          <t>④ 失竊補償 + ⑤ 客服/雲端 + ⑥ 維修物流</t>
        </is>
      </c>
      <c r="B34" s="12">
        <f>假設!$B$65+假設!$B$63+假設!$B$64</f>
        <v>53.0</v>
      </c>
      <c r="C34" s="12">
        <f>假設!$B$65+假設!$B$63+假設!$B$64</f>
        <v>53.0</v>
      </c>
      <c r="D34" s="12">
        <f>假設!$B$65+假設!$B$63+假設!$B$64</f>
        <v>53.0</v>
      </c>
      <c r="K34" s="11" t="inlineStr">
        <is>
          <t>按戶固定，不隨電池大小縮小（V3 分頁 9/10 的核心結構）</t>
        </is>
      </c>
    </row>
    <row r="35">
      <c r="A35" s="11" t="inlineStr">
        <is>
          <t>⑦ CAC 攤提 = CAC ÷ 壽命</t>
        </is>
      </c>
      <c r="B35" s="12">
        <f>假設!$B$69/假設!$B$68</f>
        <v>22.22222222222222</v>
      </c>
      <c r="C35" s="12">
        <f>假設!$B$69/假設!$B$68</f>
        <v>22.22222222222222</v>
      </c>
      <c r="D35" s="12">
        <f>假設!$B$69/假設!$B$68</f>
        <v>22.22222222222222</v>
      </c>
    </row>
    <row r="36">
      <c r="A36" s="16" t="inlineStr">
        <is>
          <t>每戶每月成本合計</t>
        </is>
      </c>
      <c r="B36" s="24">
        <f>SUM(B31:B35)</f>
        <v>147.81886044444445</v>
      </c>
      <c r="C36" s="24">
        <f>SUM(C31:C35)</f>
        <v>158.81897777777777</v>
      </c>
      <c r="D36" s="24">
        <f>SUM(D31:D35)</f>
        <v>176.10487644444447</v>
      </c>
    </row>
    <row r="37">
      <c r="A37" s="11" t="inlineStr">
        <is>
          <t>所需淨月費 = 成本 ÷ (1 − 目標貢獻率)</t>
        </is>
      </c>
      <c r="B37" s="12">
        <f>B36/(1-假設!$B$71)</f>
        <v>197.09181392592595</v>
      </c>
      <c r="C37" s="12">
        <f>C36/(1-假設!$B$71)</f>
        <v>211.75863703703703</v>
      </c>
      <c r="D37" s="12">
        <f>D36/(1-假設!$B$71)</f>
        <v>234.80650192592597</v>
      </c>
    </row>
    <row r="38">
      <c r="A38" s="16" t="inlineStr">
        <is>
          <t>建議月費（含稅、含呆帳金流）= 淨月費 ÷ (1 − 呆帳 − 金流) × (1 + 稅)</t>
        </is>
      </c>
      <c r="B38" s="13">
        <f>B37/(1-假設!$B$61-假設!$B$62)*(1+假設!$B$60)</f>
        <v>220.1557495981088</v>
      </c>
      <c r="C38" s="13">
        <f>C37/(1-假設!$B$61-假設!$B$62)*(1+假設!$B$60)</f>
        <v>236.53890307328606</v>
      </c>
      <c r="D38" s="13">
        <f>D37/(1-假設!$B$61-假設!$B$62)*(1+假設!$B$60)</f>
        <v>262.28385853427903</v>
      </c>
      <c r="K38" s="11" t="inlineStr">
        <is>
          <t>成本堆疊得出的月費</t>
        </is>
      </c>
    </row>
    <row r="39">
      <c r="A39" s="11" t="inlineStr">
        <is>
          <t>損益兩平月費（貢獻率 0）</t>
        </is>
      </c>
      <c r="B39" s="12">
        <f>B36/(1-假設!$B$61-假設!$B$62)*(1+假設!$B$60)</f>
        <v>165.11681219858158</v>
      </c>
      <c r="C39" s="12">
        <f>C36/(1-假設!$B$61-假設!$B$62)*(1+假設!$B$60)</f>
        <v>177.40417730496455</v>
      </c>
      <c r="D39" s="12">
        <f>D36/(1-假設!$B$61-假設!$B$62)*(1+假設!$B$60)</f>
        <v>196.71289390070928</v>
      </c>
    </row>
    <row r="40">
      <c r="A40" s="16" t="inlineStr">
        <is>
          <t>建議定價（取整，可改）</t>
        </is>
      </c>
      <c r="B40" s="25" t="n">
        <v>249</v>
      </c>
      <c r="C40" s="25" t="n">
        <v>299</v>
      </c>
      <c r="D40" s="25" t="n">
        <v>399</v>
      </c>
      <c r="K40" s="11" t="inlineStr">
        <is>
          <t>對照錨點：歐洲替換電池零售 €120–180；台灣 Gogoro NT$319 起；日本 NORUDE 盜難補償 ¥700/月</t>
        </is>
      </c>
    </row>
    <row r="41">
      <c r="A41" s="11" t="inlineStr">
        <is>
          <t>以定價回算：每戶月貢獻</t>
        </is>
      </c>
      <c r="B41" s="12">
        <f>B40/(1+假設!$B$60)*(1-假設!$B$61-假設!$B$62)-B36+B31+B35</f>
        <v>129.88443793650794</v>
      </c>
      <c r="C41" s="12">
        <f>C40/(1+假設!$B$60)*(1-假設!$B$61-假設!$B$62)-C36+C31+C35</f>
        <v>169.4900376984127</v>
      </c>
      <c r="D41" s="12">
        <f>D40/(1+假設!$B$60)*(1-假設!$B$61-假設!$B$62)-D36+D31+D35</f>
        <v>250.9110822222222</v>
      </c>
      <c r="K41" s="11" t="inlineStr">
        <is>
          <t>＝ 淨收 − 現金成本（③④⑤⑥；資產與 CAC 另列）</t>
        </is>
      </c>
    </row>
    <row r="42">
      <c r="A42" s="11" t="inlineStr">
        <is>
          <t>資產回收期（月）</t>
        </is>
      </c>
      <c r="B42" s="15">
        <f>IF(B41&gt;0,B30/B41,999)</f>
        <v>12.0176010675199</v>
      </c>
      <c r="C42" s="15">
        <f>IF(C41&gt;0,C30/C41,999)</f>
        <v>10.66966545383532</v>
      </c>
      <c r="D42" s="15">
        <f>IF(D41&gt;0,D30/D41,999)</f>
        <v>8.757423946918001</v>
      </c>
    </row>
    <row r="43">
      <c r="A43" s="16" t="inlineStr">
        <is>
          <t>36 月單戶淨值 = 貢獻 × 壽命 + 殘值 − 資產 − CAC</t>
        </is>
      </c>
      <c r="B43" s="13">
        <f>B41*假設!$B$68+B28*假設!$B$70-B30-假設!$B$69</f>
        <v>2521.835309714286</v>
      </c>
      <c r="C43" s="13">
        <f>C41*假設!$B$68+C28*假設!$B$70-C30-假設!$B$69</f>
        <v>3737.2596571428567</v>
      </c>
      <c r="D43" s="13">
        <f>D41*假設!$B$68+D28*假設!$B$70-D30-假設!$B$69</f>
        <v>6337.824447999999</v>
      </c>
    </row>
    <row r="44">
      <c r="A44" s="11" t="inlineStr">
        <is>
          <t>定價 × 36 月合計（消費者視角）</t>
        </is>
      </c>
      <c r="B44" s="12">
        <f>B40*36</f>
        <v>8964.0</v>
      </c>
      <c r="C44" s="12">
        <f>C40*36</f>
        <v>10764.0</v>
      </c>
      <c r="D44" s="12">
        <f>D40*36</f>
        <v>14364.0</v>
      </c>
      <c r="K44" s="11" t="inlineStr">
        <is>
          <t>對照：買斷方案第 4 年換電池 €250 / NT$6,000 / ¥35,000</t>
        </is>
      </c>
    </row>
    <row r="46">
      <c r="A46" s="3" t="inlineStr">
        <is>
          <t>日本 ¥（每戶每月）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項目</t>
        </is>
      </c>
      <c r="B47" s="5" t="inlineStr">
        <is>
          <t>144 Wh</t>
        </is>
      </c>
      <c r="C47" s="5" t="inlineStr">
        <is>
          <t>202 Wh</t>
        </is>
      </c>
      <c r="D47" s="5" t="inlineStr">
        <is>
          <t>360 Wh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>
        <is>
          <t>公式 / 說明</t>
        </is>
      </c>
    </row>
    <row r="48">
      <c r="A48" s="11" t="inlineStr">
        <is>
          <t>電池包 FOB（RMB）</t>
        </is>
      </c>
      <c r="B48" s="12">
        <f>((144)*假設!$B$10+假設!$B$11)*(1+假設!$B$12)</f>
        <v>253.74720000000002</v>
      </c>
      <c r="C48" s="12">
        <f>((202)*假設!$B$10+假設!$B$11)*(1+假設!$B$12)</f>
        <v>298.9176</v>
      </c>
      <c r="D48" s="12">
        <f>((360)*假設!$B$10+假設!$B$11)*(1+假設!$B$12)</f>
        <v>421.968</v>
      </c>
      <c r="K48" s="11" t="inlineStr">
        <is>
          <t>V3 成本函數 (Wh×0.66+120)×1.18</t>
        </is>
      </c>
    </row>
    <row r="49">
      <c r="A49" s="11" t="inlineStr">
        <is>
          <t>電池落地成本（當地幣）</t>
        </is>
      </c>
      <c r="B49" s="12">
        <f>B48*假設!$B$21*(1+假設!$B$32)+假設!$B$86</f>
        <v>6501.5815680000005</v>
      </c>
      <c r="C49" s="12">
        <f>C48*假設!$B$21*(1+假設!$B$32)+假設!$B$86</f>
        <v>7605.546144</v>
      </c>
      <c r="D49" s="12">
        <f>D48*假設!$B$21*(1+假設!$B$32)+假設!$B$86</f>
        <v>10612.89792</v>
      </c>
      <c r="K49" s="11" t="inlineStr">
        <is>
          <t>RMB × 23.5 × 1.04 + 物流分攤</t>
        </is>
      </c>
    </row>
    <row r="50">
      <c r="A50" s="11" t="inlineStr">
        <is>
          <t>充電器落地成本（當地幣）</t>
        </is>
      </c>
      <c r="B50" s="12">
        <f>假設!$B$13*假設!$B$21*(1+假設!$B$32)</f>
        <v>977.6</v>
      </c>
      <c r="C50" s="12">
        <f>假設!$B$13*假設!$B$21*(1+假設!$B$32)</f>
        <v>977.6</v>
      </c>
      <c r="D50" s="12">
        <f>假設!$B$13*假設!$B$21*(1+假設!$B$32)</f>
        <v>977.6</v>
      </c>
      <c r="K50" s="11" t="inlineStr">
        <is>
          <t>日本充電器為 ◇PSE 特定電気用品，認證費另計</t>
        </is>
      </c>
    </row>
    <row r="51">
      <c r="A51" s="16" t="inlineStr">
        <is>
          <t>每戶訂閱資產（電池 + 充電器）</t>
        </is>
      </c>
      <c r="B51" s="24">
        <f>B49+B50</f>
        <v>7479.181568000001</v>
      </c>
      <c r="C51" s="24">
        <f>C49+C50</f>
        <v>8583.146144</v>
      </c>
      <c r="D51" s="24">
        <f>D49+D50</f>
        <v>11590.49792</v>
      </c>
      <c r="K51" s="11" t="inlineStr">
        <is>
          <t>對照 V3 分頁 10：三電訂閱資產 €69、電池 €32</t>
        </is>
      </c>
    </row>
    <row r="52">
      <c r="A52" s="11" t="inlineStr">
        <is>
          <t>① 電池資產攤提 = 資產 × (1 − 殘值) ÷ 壽命</t>
        </is>
      </c>
      <c r="B52" s="12">
        <f>B49*(1-假設!$B$84)/假設!$B$82</f>
        <v>153.50956480000002</v>
      </c>
      <c r="C52" s="12">
        <f>C49*(1-假設!$B$84)/假設!$B$82</f>
        <v>179.57539506666666</v>
      </c>
      <c r="D52" s="12">
        <f>D49*(1-假設!$B$84)/假設!$B$82</f>
        <v>250.582312</v>
      </c>
      <c r="K52" s="11" t="inlineStr"/>
    </row>
    <row r="53">
      <c r="A53" s="11" t="inlineStr">
        <is>
          <t>② 充電器攤提 = 充電器 ÷ 壽命</t>
        </is>
      </c>
      <c r="B53" s="12">
        <f>B50/假設!$B$82</f>
        <v>27.155555555555555</v>
      </c>
      <c r="C53" s="12">
        <f>C50/假設!$B$82</f>
        <v>27.155555555555555</v>
      </c>
      <c r="D53" s="12">
        <f>D50/假設!$B$82</f>
        <v>27.155555555555555</v>
      </c>
    </row>
    <row r="54">
      <c r="A54" s="11" t="inlineStr">
        <is>
          <t>③ 電池更換準備 = (電池 + 更換物流) ÷ 更換週期</t>
        </is>
      </c>
      <c r="B54" s="12">
        <f>(B49+假設!$B$81)/假設!$B$80</f>
        <v>197.94961600000002</v>
      </c>
      <c r="C54" s="12">
        <f>(C49+假設!$B$81)/假設!$B$80</f>
        <v>220.948878</v>
      </c>
      <c r="D54" s="12">
        <f>(D49+假設!$B$81)/假設!$B$80</f>
        <v>283.60204</v>
      </c>
      <c r="K54" s="11" t="inlineStr">
        <is>
          <t>SoH &lt; 70% 免費換新的準備金；物流走經銷點（UN3480）</t>
        </is>
      </c>
    </row>
    <row r="55">
      <c r="A55" s="11" t="inlineStr">
        <is>
          <t>④ 失竊補償 + ⑤ 客服/雲端 + ⑥ 維修物流</t>
        </is>
      </c>
      <c r="B55" s="12">
        <f>假設!$B$79+假設!$B$77+假設!$B$78</f>
        <v>240.0</v>
      </c>
      <c r="C55" s="12">
        <f>假設!$B$79+假設!$B$77+假設!$B$78</f>
        <v>240.0</v>
      </c>
      <c r="D55" s="12">
        <f>假設!$B$79+假設!$B$77+假設!$B$78</f>
        <v>240.0</v>
      </c>
      <c r="K55" s="11" t="inlineStr">
        <is>
          <t>按戶固定，不隨電池大小縮小（V3 分頁 9/10 的核心結構）</t>
        </is>
      </c>
    </row>
    <row r="56">
      <c r="A56" s="11" t="inlineStr">
        <is>
          <t>⑦ CAC 攤提 = CAC ÷ 壽命</t>
        </is>
      </c>
      <c r="B56" s="12">
        <f>假設!$B$83/假設!$B$82</f>
        <v>83.33333333333333</v>
      </c>
      <c r="C56" s="12">
        <f>假設!$B$83/假設!$B$82</f>
        <v>83.33333333333333</v>
      </c>
      <c r="D56" s="12">
        <f>假設!$B$83/假設!$B$82</f>
        <v>83.33333333333333</v>
      </c>
    </row>
    <row r="57">
      <c r="A57" s="16" t="inlineStr">
        <is>
          <t>每戶每月成本合計</t>
        </is>
      </c>
      <c r="B57" s="24">
        <f>SUM(B52:B56)</f>
        <v>701.948069688889</v>
      </c>
      <c r="C57" s="24">
        <f>SUM(C52:C56)</f>
        <v>751.0131619555556</v>
      </c>
      <c r="D57" s="24">
        <f>SUM(D52:D56)</f>
        <v>884.6732408888889</v>
      </c>
    </row>
    <row r="58">
      <c r="A58" s="11" t="inlineStr">
        <is>
          <t>所需淨月費 = 成本 ÷ (1 − 目標貢獻率)</t>
        </is>
      </c>
      <c r="B58" s="12">
        <f>B57/(1-假設!$B$85)</f>
        <v>935.9307595851852</v>
      </c>
      <c r="C58" s="12">
        <f>C57/(1-假設!$B$85)</f>
        <v>1001.3508826074075</v>
      </c>
      <c r="D58" s="12">
        <f>D57/(1-假設!$B$85)</f>
        <v>1179.5643211851852</v>
      </c>
    </row>
    <row r="59">
      <c r="A59" s="16" t="inlineStr">
        <is>
          <t>建議月費（含稅、含呆帳金流）= 淨月費 ÷ (1 − 呆帳 − 金流) × (1 + 稅)</t>
        </is>
      </c>
      <c r="B59" s="13">
        <f>B58/(1-假設!$B$75-假設!$B$76)*(1+假設!$B$74)</f>
        <v>1101.0950112766886</v>
      </c>
      <c r="C59" s="13">
        <f>C58/(1-假設!$B$75-假設!$B$76)*(1+假設!$B$74)</f>
        <v>1178.0598618910678</v>
      </c>
      <c r="D59" s="13">
        <f>D58/(1-假設!$B$75-假設!$B$76)*(1+假設!$B$74)</f>
        <v>1387.7227308061006</v>
      </c>
      <c r="K59" s="11" t="inlineStr">
        <is>
          <t>成本堆疊得出的月費</t>
        </is>
      </c>
    </row>
    <row r="60">
      <c r="A60" s="11" t="inlineStr">
        <is>
          <t>損益兩平月費（貢獻率 0）</t>
        </is>
      </c>
      <c r="B60" s="12">
        <f>B57/(1-假設!$B$75-假設!$B$76)*(1+假設!$B$74)</f>
        <v>825.8212584575166</v>
      </c>
      <c r="C60" s="12">
        <f>C57/(1-假設!$B$75-假設!$B$76)*(1+假設!$B$74)</f>
        <v>883.5448964183008</v>
      </c>
      <c r="D60" s="12">
        <f>D57/(1-假設!$B$75-假設!$B$76)*(1+假設!$B$74)</f>
        <v>1040.7920481045753</v>
      </c>
    </row>
    <row r="61">
      <c r="A61" s="16" t="inlineStr">
        <is>
          <t>建議定價（取整，可改）</t>
        </is>
      </c>
      <c r="B61" s="25" t="n">
        <v>980</v>
      </c>
      <c r="C61" s="25" t="n">
        <v>1280</v>
      </c>
      <c r="D61" s="25" t="n">
        <v>1680</v>
      </c>
      <c r="K61" s="11" t="inlineStr">
        <is>
          <t>對照錨點：歐洲替換電池零售 €120–180；台灣 Gogoro NT$319 起；日本 NORUDE 盜難補償 ¥700/月</t>
        </is>
      </c>
    </row>
    <row r="62">
      <c r="A62" s="11" t="inlineStr">
        <is>
          <t>以定價回算：每戶月貢獻</t>
        </is>
      </c>
      <c r="B62" s="12">
        <f>B61/(1+假設!$B$74)*(1-假設!$B$75-假設!$B$76)-B57+B52+B56</f>
        <v>367.8948284444443</v>
      </c>
      <c r="C62" s="12">
        <f>C61/(1+假設!$B$74)*(1-假設!$B$75-假設!$B$76)-C57+C52+C56</f>
        <v>599.8955664444442</v>
      </c>
      <c r="D62" s="12">
        <f>D61/(1+假設!$B$74)*(1-假設!$B$75-假設!$B$76)-D57+D52+D56</f>
        <v>877.2424044444444</v>
      </c>
      <c r="K62" s="11" t="inlineStr">
        <is>
          <t>＝ 淨收 − 現金成本（③④⑤⑥；資產與 CAC 另列）</t>
        </is>
      </c>
    </row>
    <row r="63">
      <c r="A63" s="11" t="inlineStr">
        <is>
          <t>資產回收期（月）</t>
        </is>
      </c>
      <c r="B63" s="15">
        <f>IF(B62&gt;0,B51/B62,999)</f>
        <v>20.329673019933278</v>
      </c>
      <c r="C63" s="15">
        <f>IF(C62&gt;0,C51/C62,999)</f>
        <v>14.30773391920855</v>
      </c>
      <c r="D63" s="15">
        <f>IF(D62&gt;0,D51/D62,999)</f>
        <v>13.212423226782152</v>
      </c>
    </row>
    <row r="64">
      <c r="A64" s="16" t="inlineStr">
        <is>
          <t>36 月單戶淨值 = 貢獻 × 壽命 + 殘值 − 資產 − CAC</t>
        </is>
      </c>
      <c r="B64" s="13">
        <f>B62*假設!$B$82+B49*假設!$B$84-B51-假設!$B$83</f>
        <v>3740.2694911999924</v>
      </c>
      <c r="C64" s="13">
        <f>C62*假設!$B$82+C49*假設!$B$84-C51-假設!$B$83</f>
        <v>11153.926169599987</v>
      </c>
      <c r="D64" s="13">
        <f>D62*假設!$B$82+D49*假設!$B$84-D51-假設!$B$83</f>
        <v>18582.163327999995</v>
      </c>
    </row>
    <row r="65">
      <c r="A65" s="11" t="inlineStr">
        <is>
          <t>定價 × 36 月合計（消費者視角）</t>
        </is>
      </c>
      <c r="B65" s="12">
        <f>B61*36</f>
        <v>35280.0</v>
      </c>
      <c r="C65" s="12">
        <f>C61*36</f>
        <v>46080.0</v>
      </c>
      <c r="D65" s="12">
        <f>D61*36</f>
        <v>60480.0</v>
      </c>
      <c r="K65" s="11" t="inlineStr">
        <is>
          <t>對照：買斷方案第 4 年換電池 €250 / NT$6,000 / ¥35,000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52" customWidth="1" min="5" max="5"/>
  </cols>
  <sheetData>
    <row r="1">
      <c r="A1" s="1" t="inlineStr">
        <is>
          <t>電池可拆卸的位置：車架可拆包（標準品）vs 輪內分體母模（StealthWheel）</t>
        </is>
      </c>
    </row>
    <row r="2">
      <c r="A2" s="2" t="inlineStr">
        <is>
          <t>RMB/台。車架可拆包是 V3 電池成本函數的基準（固定成本 120 已含外殼/軌道/鎖），增量為零；輪內方案的增量取自盡調報告重估與 V3 分頁 6。</t>
        </is>
      </c>
    </row>
    <row r="4">
      <c r="A4" s="5" t="inlineStr">
        <is>
          <t>項目</t>
        </is>
      </c>
      <c r="B4" s="5" t="inlineStr">
        <is>
          <t>車架可拆包</t>
        </is>
      </c>
      <c r="C4" s="5" t="inlineStr">
        <is>
          <t>輪內分體母模</t>
        </is>
      </c>
      <c r="D4" s="5" t="inlineStr">
        <is>
          <t>差額</t>
        </is>
      </c>
      <c r="E4" s="5" t="inlineStr">
        <is>
          <t>依據</t>
        </is>
      </c>
    </row>
    <row r="5">
      <c r="A5" s="6" t="inlineStr">
        <is>
          <t>電池模組 180Wh（訂閱資產）</t>
        </is>
      </c>
      <c r="B5" s="12">
        <f>((180)*假設!$B$10+假設!$B$11)*(1+假設!$B$12)</f>
        <v>281.784</v>
      </c>
      <c r="C5" s="12">
        <f>假設!$B$90*假設!$B$91</f>
        <v>549.9</v>
      </c>
      <c r="D5" s="12">
        <f>C5-B5</f>
        <v>268.116</v>
      </c>
      <c r="E5" s="6" t="inlineStr">
        <is>
          <t>盡調：母模需鍍金同心環 + 冠簧 + 卡口 + 氟膠 O 環 + CNC 鋁殼；US$78 vs 標準包 RMB 282</t>
        </is>
      </c>
    </row>
    <row r="6">
      <c r="A6" s="6" t="inlineStr">
        <is>
          <t>馬達</t>
        </is>
      </c>
      <c r="B6" s="12">
        <f>假設!$B$93</f>
        <v>205.0</v>
      </c>
      <c r="C6" s="12">
        <f>假設!$B$92</f>
        <v>500.0</v>
      </c>
      <c r="D6" s="12">
        <f>C6-B6</f>
        <v>295.0</v>
      </c>
      <c r="E6" s="6" t="inlineStr">
        <is>
          <t>商品化輪轂無卡口/導電介面；分體公模須客製，落入 TK-06U 級距價位</t>
        </is>
      </c>
    </row>
    <row r="7">
      <c r="A7" s="6" t="inlineStr">
        <is>
          <t>車架後下叉間隙</t>
        </is>
      </c>
      <c r="B7" s="12" t="n">
        <v>0</v>
      </c>
      <c r="C7" s="12">
        <f>假設!$B$94</f>
        <v>28.0</v>
      </c>
      <c r="D7" s="12">
        <f>C7-B7</f>
        <v>28.0</v>
      </c>
      <c r="E7" s="6" t="inlineStr">
        <is>
          <t>Ø130mm 母模須特製後下叉，失去「公版車架」優勢</t>
        </is>
      </c>
    </row>
    <row r="8">
      <c r="A8" s="6" t="inlineStr">
        <is>
          <t>組裝、IP67 氣密測試</t>
        </is>
      </c>
      <c r="B8" s="12" t="n">
        <v>0</v>
      </c>
      <c r="C8" s="12">
        <f>假設!$B$95</f>
        <v>32.0</v>
      </c>
      <c r="D8" s="12">
        <f>C8-B8</f>
        <v>32.0</v>
      </c>
      <c r="E8" s="6" t="inlineStr">
        <is>
          <t>扭力管制 + 氣密測試，非隨插即裝</t>
        </is>
      </c>
    </row>
    <row r="9">
      <c r="A9" s="6" t="inlineStr">
        <is>
          <t>編輪偏擺處理</t>
        </is>
      </c>
      <c r="B9" s="12" t="n">
        <v>0</v>
      </c>
      <c r="C9" s="12">
        <f>假設!$B$96</f>
        <v>15.0</v>
      </c>
      <c r="D9" s="12">
        <f>C9-B9</f>
        <v>15.0</v>
      </c>
      <c r="E9" s="6" t="inlineStr">
        <is>
          <t>兩側法蘭同在公模 → 輪組偏擺（dish）</t>
        </is>
      </c>
    </row>
    <row r="10">
      <c r="A10" s="6" t="inlineStr">
        <is>
          <t>模具與專屬認證 NRE 攤提</t>
        </is>
      </c>
      <c r="B10" s="12" t="n">
        <v>0</v>
      </c>
      <c r="C10" s="12">
        <f>假設!$B$97*假設!$B$91/假設!$B$98</f>
        <v>17.625</v>
      </c>
      <c r="D10" s="12">
        <f>C10-B10</f>
        <v>17.625</v>
      </c>
      <c r="E10" s="6" t="inlineStr">
        <is>
          <t>US$250k ÷ 攤提量</t>
        </is>
      </c>
    </row>
    <row r="11">
      <c r="A11" s="16" t="inlineStr">
        <is>
          <t>增量合計（RMB/台）</t>
        </is>
      </c>
      <c r="B11" s="24">
        <f>SUM(B5:B10)</f>
        <v>486.784</v>
      </c>
      <c r="C11" s="24">
        <f>SUM(C5:C10)</f>
        <v>1142.525</v>
      </c>
      <c r="D11" s="13">
        <f>SUM(D5:D10)</f>
        <v>655.741</v>
      </c>
      <c r="E11" s="11" t="inlineStr"/>
    </row>
    <row r="12">
      <c r="A12" s="11" t="inlineStr">
        <is>
          <t>其中落在車體（出廠價）的增量</t>
        </is>
      </c>
      <c r="B12" s="12" t="n">
        <v>0</v>
      </c>
      <c r="C12" s="12">
        <f>SUM(D6:D10)</f>
        <v>387.625</v>
      </c>
      <c r="D12" s="12">
        <f>C12-B12</f>
        <v>387.625</v>
      </c>
      <c r="E12" s="11" t="inlineStr">
        <is>
          <t>馬達 + 車架 + 組裝 + 編輪 + NRE</t>
        </is>
      </c>
    </row>
    <row r="13">
      <c r="A13" s="11" t="inlineStr">
        <is>
          <t>其中落在訂閱資產（電池模組）的增量</t>
        </is>
      </c>
      <c r="B13" s="12" t="n">
        <v>0</v>
      </c>
      <c r="C13" s="12">
        <f>D5</f>
        <v>268.116</v>
      </c>
      <c r="D13" s="12">
        <f>C13-B13</f>
        <v>268.116</v>
      </c>
      <c r="E13" s="11" t="inlineStr"/>
    </row>
    <row r="15">
      <c r="A15" s="3" t="inlineStr">
        <is>
          <t>B. 對出廠價與訂閱費的影響（歐洲 180Wh）</t>
        </is>
      </c>
      <c r="B15" s="4" t="n"/>
      <c r="C15" s="4" t="n"/>
      <c r="D15" s="4" t="n"/>
      <c r="E15" s="4" t="n"/>
    </row>
    <row r="16">
      <c r="A16" s="5" t="inlineStr">
        <is>
          <t>指標</t>
        </is>
      </c>
      <c r="B16" s="5" t="inlineStr">
        <is>
          <t>車架可拆包</t>
        </is>
      </c>
      <c r="C16" s="5" t="inlineStr">
        <is>
          <t>輪內分體母模</t>
        </is>
      </c>
      <c r="D16" s="5" t="inlineStr">
        <is>
          <t>差額</t>
        </is>
      </c>
      <c r="E16" s="5" t="inlineStr">
        <is>
          <t>說明</t>
        </is>
      </c>
    </row>
    <row r="17">
      <c r="A17" s="11" t="inlineStr">
        <is>
          <t>車體出廠價 RMB（配置 C，ODM 13%）</t>
        </is>
      </c>
      <c r="B17" s="26">
        <f>入手價!C8</f>
        <v>943.9264367816093</v>
      </c>
      <c r="C17" s="12">
        <f>(入手價!B8+C12-假設!$B$95+假設!$B$7+假設!$B$95)/(1-假設!$B$8)</f>
        <v>1389.4724137931034</v>
      </c>
      <c r="D17" s="27">
        <f>C17/B17-1</f>
        <v>0.47201345322058996</v>
      </c>
      <c r="E17" s="11" t="inlineStr">
        <is>
          <t>組裝增額計入工時；其餘計入材料</t>
        </is>
      </c>
    </row>
    <row r="18">
      <c r="A18" s="11" t="inlineStr">
        <is>
          <t>車體出廠價 NT$</t>
        </is>
      </c>
      <c r="B18" s="12">
        <f>B17*假設!$B$20</f>
        <v>4285.426022988506</v>
      </c>
      <c r="C18" s="12">
        <f>C17*假設!$B$20</f>
        <v>6308.20475862069</v>
      </c>
      <c r="D18" s="12">
        <f>C18-B18</f>
        <v>2022.7787356321842</v>
      </c>
      <c r="E18" s="11" t="inlineStr">
        <is>
          <t>對 NT$6,000 目標</t>
        </is>
      </c>
    </row>
    <row r="19">
      <c r="A19" s="11" t="inlineStr">
        <is>
          <t>每戶訂閱資產 €（電池 + 充電器）</t>
        </is>
      </c>
      <c r="B19" s="28">
        <f>電池訂閱費!B9</f>
        <v>35.5825037037037</v>
      </c>
      <c r="C19" s="15">
        <f>C5/假設!$B$19*(1+假設!$B$25)+假設!$B$58+假設!$B$13/假設!$B$19*(1+假設!$B$25)</f>
        <v>61.89759259259259</v>
      </c>
      <c r="D19" s="15">
        <f>C19-B19</f>
        <v>26.315088888888887</v>
      </c>
      <c r="E19" s="11" t="inlineStr"/>
    </row>
    <row r="20">
      <c r="A20" s="11" t="inlineStr">
        <is>
          <t>電池更換週期（月）</t>
        </is>
      </c>
      <c r="B20" s="26">
        <f>假設!$B$52</f>
        <v>48.0</v>
      </c>
      <c r="C20" s="26">
        <f>假設!$B$99</f>
        <v>36.0</v>
      </c>
      <c r="D20" s="12">
        <f>C20-B20</f>
        <v>-12.0</v>
      </c>
      <c r="E20" s="11" t="inlineStr">
        <is>
          <t>輪內受熱：盡調矛盾 3</t>
        </is>
      </c>
    </row>
    <row r="21">
      <c r="A21" s="16" t="inlineStr">
        <is>
          <t>成本堆疊所需月費 €（含稅）</t>
        </is>
      </c>
      <c r="B21" s="20">
        <f>((B19-假設!$B$13/假設!$B$19*(1+假設!$B$25))*(1-假設!$B$56)/假設!$B$54+假設!$B$13/假設!$B$19*(1+假設!$B$25)/假設!$B$54+((B19-假設!$B$13/假設!$B$19*(1+假設!$B$25))+假設!$B$53)/B20+假設!$B$51+假設!$B$49+假設!$B$50+假設!$B$55/假設!$B$54)/(1-假設!$B$57)/(1-假設!$B$47-假設!$B$48)*(1+假設!$B$46)</f>
        <v>8.105605178738747</v>
      </c>
      <c r="C21" s="20">
        <f>((C19-假設!$B$13/假設!$B$19*(1+假設!$B$25))*(1-假設!$B$56)/假設!$B$54+假設!$B$13/假設!$B$19*(1+假設!$B$25)/假設!$B$54+((C19-假設!$B$13/假設!$B$19*(1+假設!$B$25))+假設!$B$53)/C20+假設!$B$51+假設!$B$49+假設!$B$50+假設!$B$55/假設!$B$54)/(1-假設!$B$57)/(1-假設!$B$47-假設!$B$48)*(1+假設!$B$46)</f>
        <v>11.193057114694131</v>
      </c>
      <c r="D21" s="27">
        <f>C21/B21-1</f>
        <v>0.380903321574787</v>
      </c>
      <c r="E21" s="11" t="inlineStr">
        <is>
          <t>同一套定價公式（見電池訂閱費表）</t>
        </is>
      </c>
    </row>
    <row r="23">
      <c r="A23" s="3" t="inlineStr">
        <is>
          <t>C. 車架包做到「電芯層級可更換」的成本與效益</t>
        </is>
      </c>
      <c r="B23" s="4" t="n"/>
      <c r="C23" s="4" t="n"/>
      <c r="D23" s="4" t="n"/>
      <c r="E23" s="4" t="n"/>
    </row>
    <row r="24">
      <c r="A24" s="5" t="inlineStr">
        <is>
          <t>項目</t>
        </is>
      </c>
      <c r="B24" s="5" t="inlineStr">
        <is>
          <t>點焊鎳片（現行）</t>
        </is>
      </c>
      <c r="C24" s="5" t="inlineStr">
        <is>
          <t>電芯座/螺絲殼（Art.11）</t>
        </is>
      </c>
      <c r="D24" s="5" t="inlineStr">
        <is>
          <t>差額</t>
        </is>
      </c>
      <c r="E24" s="5" t="inlineStr">
        <is>
          <t>說明</t>
        </is>
      </c>
    </row>
    <row r="25">
      <c r="A25" s="11" t="inlineStr">
        <is>
          <t>電池包 FOB RMB（180Wh）</t>
        </is>
      </c>
      <c r="B25" s="12">
        <f>((180)*假設!$B$10+假設!$B$11)*(1+假設!$B$12)</f>
        <v>281.784</v>
      </c>
      <c r="C25" s="12">
        <f>((180)*假設!$B$10+假設!$B$11)*(1+假設!$B$12)+假設!$B$100</f>
        <v>301.784</v>
      </c>
      <c r="D25" s="12">
        <f>C25-B25</f>
        <v>20.0</v>
      </c>
      <c r="E25" s="11" t="inlineStr">
        <is>
          <t>+RMB 20：電芯座、彈簧接點、可拆殼體；體積能量密度約 −10%</t>
        </is>
      </c>
    </row>
    <row r="26">
      <c r="A26" s="11" t="inlineStr">
        <is>
          <t>翻新成本（佔新品）</t>
        </is>
      </c>
      <c r="B26" s="8" t="n">
        <v>0.6</v>
      </c>
      <c r="C26" s="29">
        <f>假設!$B$101</f>
        <v>0.3</v>
      </c>
      <c r="D26" s="17">
        <f>C26-B26</f>
        <v>-0.3</v>
      </c>
      <c r="E26" s="11" t="inlineStr">
        <is>
          <t>點焊包只能整包報廢或拆解回收；電芯座包可只換衰退電芯</t>
        </is>
      </c>
    </row>
    <row r="27">
      <c r="A27" s="11" t="inlineStr">
        <is>
          <t>每次翻新成本 RMB</t>
        </is>
      </c>
      <c r="B27" s="12">
        <f>B25*B26</f>
        <v>169.07039999999998</v>
      </c>
      <c r="C27" s="12">
        <f>C25*C26</f>
        <v>90.53519999999999</v>
      </c>
      <c r="D27" s="13">
        <f>C27-B27</f>
        <v>-78.53519999999999</v>
      </c>
      <c r="E27" s="11" t="inlineStr">
        <is>
          <t>一次翻新即回收設計增額的 4 倍以上</t>
        </is>
      </c>
    </row>
    <row r="28">
      <c r="A28" s="11" t="inlineStr">
        <is>
          <t>法規</t>
        </is>
      </c>
      <c r="B28" s="11" t="inlineStr">
        <is>
          <t>2027/2/18 起不符 Art.11</t>
        </is>
      </c>
      <c r="C28" s="11" t="inlineStr">
        <is>
          <t>符合</t>
        </is>
      </c>
      <c r="D28" s="11" t="inlineStr"/>
      <c r="E28" s="11" t="inlineStr">
        <is>
          <t>執委會指引 C/2025/214：LMT 電池可拆換義務適用於電芯層級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2" customWidth="1" min="3" max="3"/>
    <col width="18" customWidth="1" min="4" max="4"/>
    <col width="30" customWidth="1" min="5" max="5"/>
  </cols>
  <sheetData>
    <row r="1">
      <c r="A1" s="1" t="inlineStr">
        <is>
          <t>護城河評估：電池 + 充電器訂閱能築起什麼</t>
        </is>
      </c>
    </row>
    <row r="2">
      <c r="A2" s="2" t="inlineStr">
        <is>
          <t>量化項目連動 V3 分頁 4/5 與本表；質性判定為分析意見。</t>
        </is>
      </c>
    </row>
    <row r="4">
      <c r="A4" s="5" t="inlineStr">
        <is>
          <t>候選護城河</t>
        </is>
      </c>
      <c r="B4" s="5" t="inlineStr">
        <is>
          <t>機制</t>
        </is>
      </c>
      <c r="C4" s="5" t="inlineStr">
        <is>
          <t>量化效益（RMB/台 或 說明）</t>
        </is>
      </c>
      <c r="D4" s="5" t="inlineStr">
        <is>
          <t>對手複製難度</t>
        </is>
      </c>
      <c r="E4" s="5" t="inlineStr">
        <is>
          <t>判定</t>
        </is>
      </c>
    </row>
    <row r="5">
      <c r="A5" s="11" t="inlineStr">
        <is>
          <t>1. 依實測 duty cycle 配電池</t>
        </is>
      </c>
      <c r="B5" s="6" t="inlineStr">
        <is>
          <t>持有資產且看得到里程 → 70/22/8 分群配 180/250/360Wh，車隊平均 210Wh；賣斷制必須一律配 360Wh</t>
        </is>
      </c>
      <c r="C5" s="12">
        <f>(360*假設!$B$10+假設!$B$11)*(1+假設!$B$12)-(0.7*((180)*假設!$B$10+假設!$B$11)*(1+假設!$B$12)+0.22*((250)*假設!$B$10+假設!$B$11)*(1+假設!$B$12)+0.08*((360)*假設!$B$10+假設!$B$11)*(1+假設!$B$12))</f>
        <v>116.97575999999998</v>
      </c>
      <c r="D5" s="6" t="inlineStr">
        <is>
          <t>不持有資產者無法做；需 500–1,000 台種子車隊實測</t>
        </is>
      </c>
      <c r="E5" s="6" t="inlineStr">
        <is>
          <t>中強：成本護城河</t>
        </is>
      </c>
    </row>
    <row r="6">
      <c r="A6" s="11" t="inlineStr">
        <is>
          <t>2. 二次電芯降階</t>
        </is>
      </c>
      <c r="B6" s="6" t="inlineStr">
        <is>
          <t>回收包電芯（SoH 80%）降階給低里程用戶；賣斷制在保固與消保法上不可能</t>
        </is>
      </c>
      <c r="C6" s="12">
        <f>0.3*(1-0.4)*180*假設!$B$10</f>
        <v>21.384</v>
      </c>
      <c r="D6" s="6" t="inlineStr">
        <is>
          <t>同上；且需電芯級可更換的包設計（本表 C 段）</t>
        </is>
      </c>
      <c r="E6" s="6" t="inlineStr">
        <is>
          <t>中：與 1 合計約出廠價 11%（V3）</t>
        </is>
      </c>
    </row>
    <row r="7">
      <c r="A7" s="11" t="inlineStr">
        <is>
          <t>3. 法規鎖定</t>
        </is>
      </c>
      <c r="B7" s="6" t="inlineStr">
        <is>
          <t>EN 15194 §4.2.17.2(c) closed set of components：只有已發布的電池可運作；電池法 Art.60–62 回收義務與 Art.11 電芯可換、2027 電池護照——義務變收費項目</t>
        </is>
      </c>
      <c r="C7" s="11" t="inlineStr">
        <is>
          <t>第三方電池無法合法相容；護照資料（SoH 歷程）由營運商持有 → 殘值定價</t>
        </is>
      </c>
      <c r="D7" s="6" t="inlineStr">
        <is>
          <t>對手可自建，但需 2027 前完成合規架構；先行者取得 2 年窗口</t>
        </is>
      </c>
      <c r="E7" s="6" t="inlineStr">
        <is>
          <t>中：合規即鎖定</t>
        </is>
      </c>
    </row>
    <row r="8">
      <c r="A8" s="11" t="inlineStr">
        <is>
          <t>4. 電池池與翻新迴圈</t>
        </is>
      </c>
      <c r="B8" s="6" t="inlineStr">
        <is>
          <t>同一顆電池跨用戶流轉（升降級、二次利用、翻新 20–30%）；規模越大翻新中心利用率越高、更換預測越準</t>
        </is>
      </c>
      <c r="C8" s="12">
        <f>B13</f>
        <v>47.812200000000004</v>
      </c>
      <c r="D8" s="6" t="inlineStr">
        <is>
          <t>需逆物流網（經銷點/回收點）+ 翻新產能；Gogoro 靠換電站築牆，本案靠電池池</t>
        </is>
      </c>
      <c r="E8" s="6" t="inlineStr">
        <is>
          <t>中：規模型</t>
        </is>
      </c>
    </row>
    <row r="9">
      <c r="A9" s="11" t="inlineStr">
        <is>
          <t>5. 通路與資產融資</t>
        </is>
      </c>
      <c r="B9" s="6" t="inlineStr">
        <is>
          <t>B2B2C 通路（電鐵/電力/物管/JobRad）CAC 趨近零；SPV 或 JAIC 式夥伴持有電池資產</t>
        </is>
      </c>
      <c r="C9" s="11" t="inlineStr">
        <is>
          <t>CAC €120 → €30：36 月單戶淨值 +€90（V3 分頁 9 對照）</t>
        </is>
      </c>
      <c r="D9" s="6" t="inlineStr">
        <is>
          <t>可抄，但關係型資產需時間</t>
        </is>
      </c>
      <c r="E9" s="6" t="inlineStr">
        <is>
          <t>弱—中</t>
        </is>
      </c>
    </row>
    <row r="10">
      <c r="A10" s="11" t="inlineStr">
        <is>
          <t>6. 用戶轉換成本</t>
        </is>
      </c>
      <c r="B10" s="6" t="inlineStr">
        <is>
          <t>無電池的車是 22kg 單速車、騎不動；但這是資產與付款關係，不是數據（V3 分頁 5）；且須提供買斷電池選項與「回家模式」</t>
        </is>
      </c>
      <c r="C10" s="11" t="inlineStr">
        <is>
          <t>中度鎖定，同時是客訴來源</t>
        </is>
      </c>
      <c r="D10" s="11" t="inlineStr">
        <is>
          <t>—</t>
        </is>
      </c>
      <c r="E10" s="6" t="inlineStr">
        <is>
          <t>中，但雙面刃</t>
        </is>
      </c>
    </row>
    <row r="11">
      <c r="A11" s="11" t="inlineStr">
        <is>
          <t>7. 手感繼承／APP</t>
        </is>
      </c>
      <c r="B11" s="6" t="inlineStr">
        <is>
          <t>4–8 個助力參數，對手 2–3 趟收斂；歐盟資料法 2023/2854 要求資料可攜</t>
        </is>
      </c>
      <c r="C11" s="11" t="inlineStr">
        <is>
          <t>0</t>
        </is>
      </c>
      <c r="D11" s="11" t="inlineStr">
        <is>
          <t>一週內</t>
        </is>
      </c>
      <c r="E11" s="6" t="inlineStr">
        <is>
          <t>不是護城河（V3 結論四）</t>
        </is>
      </c>
    </row>
    <row r="12">
      <c r="A12" s="11" t="inlineStr">
        <is>
          <t>8. 硬體與低價本身</t>
        </is>
      </c>
      <c r="B12" s="6" t="inlineStr">
        <is>
          <t>V3 八項降本槓桿中七項任何中國廠一週可複製；雅迪已把電池與充電器列為獨立營收（RMB 47.3 億）</t>
        </is>
      </c>
      <c r="C12" s="11" t="inlineStr">
        <is>
          <t>0</t>
        </is>
      </c>
      <c r="D12" s="11" t="inlineStr">
        <is>
          <t>即時</t>
        </is>
      </c>
      <c r="E12" s="6" t="inlineStr">
        <is>
          <t>不是護城河</t>
        </is>
      </c>
    </row>
    <row r="13">
      <c r="A13" s="16" t="inlineStr">
        <is>
          <t>翻新迴圈每台年化節省（RMB）</t>
        </is>
      </c>
      <c r="B13" s="24">
        <f>(輪內可拆vs車架可拆!B25-輪內可拆vs車架可拆!C25*假設!$B$101)/4</f>
        <v>47.812200000000004</v>
      </c>
      <c r="C13" s="11" t="inlineStr">
        <is>
          <t>＝ (新包成本 − 翻新成本) ÷ 4 年更換週期</t>
        </is>
      </c>
    </row>
    <row r="15">
      <c r="A15" s="3" t="inlineStr">
        <is>
          <t>合計：可量化的結構性成本優勢（RMB/台）</t>
        </is>
      </c>
      <c r="B15" s="4" t="n"/>
      <c r="C15" s="4" t="n"/>
      <c r="D15" s="4" t="n"/>
      <c r="E15" s="4" t="n"/>
    </row>
    <row r="16">
      <c r="A16" s="16" t="inlineStr">
        <is>
          <t>1 + 2 + 翻新迴圈</t>
        </is>
      </c>
      <c r="B16" s="13">
        <f>C5+C6+B13</f>
        <v>186.17196</v>
      </c>
      <c r="C16" s="14">
        <f>B16/入手價!C6</f>
        <v>0.14170569133858268</v>
      </c>
      <c r="D16" s="11" t="inlineStr">
        <is>
          <t>佔 V3 基準出廠價 RMB 1,314 的比例</t>
        </is>
      </c>
    </row>
    <row r="17">
      <c r="A17" s="11" t="inlineStr">
        <is>
          <t>可拿來做什麼</t>
        </is>
      </c>
      <c r="B17" s="6" t="inlineStr">
        <is>
          <t>補回力矩感測（RMB 160）或電池容量，做出同價位對手做不到的產品；或降 €1/月訂閱費擴大滲透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日本三條付款路徑：通路零利率分期／法人租賃 B2B2C／ふるさと納税</t>
        </is>
      </c>
    </row>
    <row r="2">
      <c r="A2" s="2" t="inlineStr">
        <is>
          <t>日本沒有德國 JobRad 型薪資扣抵制度；公司貸與自行車屬現物給與、全額課稅。本表以配置 D（力矩版）PB 通路零售價與 202Wh 電池訂閱為基準。JPY。</t>
        </is>
      </c>
    </row>
    <row r="4">
      <c r="A4" s="3" t="inlineStr">
        <is>
          <t>A. 假設（藍字可改）</t>
        </is>
      </c>
      <c r="B4" s="4" t="n"/>
      <c r="C4" s="4" t="n"/>
      <c r="D4" s="4" t="n"/>
      <c r="E4" s="4" t="n"/>
      <c r="F4" s="4" t="n"/>
    </row>
    <row r="5">
      <c r="A5" s="5" t="inlineStr">
        <is>
          <t>參數</t>
        </is>
      </c>
      <c r="B5" s="5" t="inlineStr">
        <is>
          <t>值</t>
        </is>
      </c>
      <c r="C5" s="5" t="inlineStr"/>
      <c r="D5" s="5" t="inlineStr"/>
      <c r="E5" s="5" t="inlineStr"/>
      <c r="F5" s="5" t="inlineStr">
        <is>
          <t>來源 / 說明</t>
        </is>
      </c>
    </row>
    <row r="6">
      <c r="A6" s="6" t="inlineStr">
        <is>
          <t>車體零售價（平地版，PB 通路，税込）</t>
        </is>
      </c>
      <c r="B6" s="26">
        <f>入手價!B30</f>
        <v>48666.11517898195</v>
      </c>
      <c r="F6" s="6" t="inlineStr">
        <is>
          <t>入手價表情境 3</t>
        </is>
      </c>
    </row>
    <row r="7">
      <c r="A7" s="6" t="inlineStr">
        <is>
          <t>車體零售價（坡地／載童版，税込，估）</t>
        </is>
      </c>
      <c r="B7" s="7" t="n">
        <v>58000</v>
      </c>
      <c r="F7" s="6" t="inlineStr">
        <is>
          <t>前次分析：扭力 + 20 吋 + 45 N·m 馬達 + 後碟 + 子乗せ車架，PB 通路約 ¥58,000</t>
        </is>
      </c>
    </row>
    <row r="8">
      <c r="A8" s="6" t="inlineStr">
        <is>
          <t>電池月費（202Wh）</t>
        </is>
      </c>
      <c r="B8" s="26">
        <f>電池訂閱費!C61</f>
        <v>1280.0</v>
      </c>
      <c r="F8" s="6" t="inlineStr">
        <is>
          <t>電池訂閱費表</t>
        </is>
      </c>
    </row>
    <row r="9">
      <c r="A9" s="6" t="inlineStr">
        <is>
          <t>電池月費（360Wh，載童版）</t>
        </is>
      </c>
      <c r="B9" s="26">
        <f>電池訂閱費!D61</f>
        <v>1680.0</v>
      </c>
      <c r="F9" s="6" t="inlineStr">
        <is>
          <t>電池訂閱費表</t>
        </is>
      </c>
    </row>
    <row r="10">
      <c r="A10" s="6" t="inlineStr">
        <is>
          <t>分期回數</t>
        </is>
      </c>
      <c r="B10" s="7" t="n">
        <v>36</v>
      </c>
      <c r="F10" s="6" t="inlineStr">
        <is>
          <t>JACCS／Orico ショッピングローン；Panasonic 官網、ハヤサカ最多 36 回無金利</t>
        </is>
      </c>
    </row>
    <row r="11">
      <c r="A11" s="6" t="inlineStr">
        <is>
          <t>消費者分期利率（無金利活動）</t>
        </is>
      </c>
      <c r="B11" s="8" t="n">
        <v>0</v>
      </c>
      <c r="F11" s="6" t="inlineStr">
        <is>
          <t>通路負擔金利</t>
        </is>
      </c>
    </row>
    <row r="12">
      <c r="A12" s="6" t="inlineStr">
        <is>
          <t>通路負擔之分期手數料率（佔本金）</t>
        </is>
      </c>
      <c r="B12" s="8" t="n">
        <v>0.08</v>
      </c>
      <c r="F12" s="6" t="inlineStr">
        <is>
          <t>假設：36 回無金利活動由通路支付金融公司約 8–12%</t>
        </is>
      </c>
    </row>
    <row r="13">
      <c r="A13" s="6" t="inlineStr">
        <is>
          <t>NORUDE ViVi SX 整車訂閱月費</t>
        </is>
      </c>
      <c r="B13" s="7" t="n">
        <v>2890</v>
      </c>
      <c r="F13" s="6" t="inlineStr">
        <is>
          <t>V3 分頁 9；36 月 ¥104,040，期末還車</t>
        </is>
      </c>
    </row>
    <row r="14">
      <c r="A14" s="6" t="inlineStr">
        <is>
          <t>NORUDE 子乗せ月費</t>
        </is>
      </c>
      <c r="B14" s="7" t="n">
        <v>5690</v>
      </c>
      <c r="F14" s="6" t="inlineStr">
        <is>
          <t>V3 分頁 9</t>
        </is>
      </c>
    </row>
    <row r="15">
      <c r="A15" s="6" t="inlineStr">
        <is>
          <t>員工邊際稅率（所得稅 + 住民稅）</t>
        </is>
      </c>
      <c r="B15" s="8" t="n">
        <v>0.2</v>
      </c>
      <c r="F15" s="6" t="inlineStr">
        <is>
          <t>年收 500–700 萬圓區間概算；用於現物給與課稅</t>
        </is>
      </c>
    </row>
    <row r="16">
      <c r="A16" s="6" t="inlineStr">
        <is>
          <t>法人租賃：年利率</t>
        </is>
      </c>
      <c r="B16" s="8" t="n">
        <v>0.05</v>
      </c>
      <c r="F16" s="6" t="inlineStr">
        <is>
          <t>假設</t>
        </is>
      </c>
    </row>
    <row r="17">
      <c r="A17" s="6" t="inlineStr">
        <is>
          <t>法人租賃：期末殘值率（車體）</t>
        </is>
      </c>
      <c r="B17" s="8" t="n">
        <v>0.1</v>
      </c>
      <c r="F17" s="6" t="inlineStr">
        <is>
          <t>假設；中國製車在日本二手市場近乎無行情</t>
        </is>
      </c>
    </row>
    <row r="18">
      <c r="A18" s="6" t="inlineStr">
        <is>
          <t>法人租賃：保養與保險（¥/月）</t>
        </is>
      </c>
      <c r="B18" s="7" t="n">
        <v>300</v>
      </c>
      <c r="F18" s="6" t="inlineStr">
        <is>
          <t>假設；Yamaha PAS リース含保養保險</t>
        </is>
      </c>
    </row>
    <row r="19">
      <c r="A19" s="6" t="inlineStr">
        <is>
          <t>法人通路：訂閱呆帳率</t>
        </is>
      </c>
      <c r="B19" s="8" t="n">
        <v>0.01</v>
      </c>
      <c r="F19" s="6" t="inlineStr">
        <is>
          <t>公司統一請款</t>
        </is>
      </c>
    </row>
    <row r="20">
      <c r="A20" s="6" t="inlineStr">
        <is>
          <t>法人通路：訂閱 CAC（¥）</t>
        </is>
      </c>
      <c r="B20" s="7" t="n">
        <v>1000</v>
      </c>
      <c r="F20" s="6" t="inlineStr">
        <is>
          <t>B2B2C 通路，趨近零</t>
        </is>
      </c>
    </row>
    <row r="21">
      <c r="A21" s="6" t="inlineStr">
        <is>
          <t>ふるさと納税：返礼品率上限</t>
        </is>
      </c>
      <c r="B21" s="8" t="n">
        <v>0.3</v>
      </c>
      <c r="F21" s="6" t="inlineStr">
        <is>
          <t>總務省基準：返礼品 ≤ 寄付額 3 割、含送料事務 ≤ 5 割</t>
        </is>
      </c>
    </row>
    <row r="22">
      <c r="A22" s="6" t="inlineStr">
        <is>
          <t>ふるさと納税：自己負担額</t>
        </is>
      </c>
      <c r="B22" s="7" t="n">
        <v>2000</v>
      </c>
      <c r="F22" s="6" t="inlineStr">
        <is>
          <t>控除上限內之固定自付</t>
        </is>
      </c>
    </row>
    <row r="23">
      <c r="A23" s="6" t="inlineStr">
        <is>
          <t>ふるさと納税：返礼品內含電池訂閱月數</t>
        </is>
      </c>
      <c r="B23" s="7" t="n">
        <v>12</v>
      </c>
      <c r="F23" s="6" t="inlineStr">
        <is>
          <t>假設：車體 + 首年電池訂閱券作為一組返礼品</t>
        </is>
      </c>
    </row>
    <row r="24">
      <c r="A24" s="6" t="inlineStr">
        <is>
          <t>ふるさと納税：日本最終組裝加價（¥/台）</t>
        </is>
      </c>
      <c r="B24" s="7" t="n">
        <v>6000</v>
      </c>
      <c r="F24" s="6" t="inlineStr">
        <is>
          <t>假設：地場產品基準要求製造主要部分在地；待驗證</t>
        </is>
      </c>
    </row>
    <row r="25">
      <c r="A25" s="6" t="inlineStr">
        <is>
          <t>自治體子乗せ補助（¥）</t>
        </is>
      </c>
      <c r="B25" s="7" t="n">
        <v>40000</v>
      </c>
      <c r="F25" s="6" t="inlineStr">
        <is>
          <t>赤穂市 ¥4 萬、輕井澤町 ¥5 萬、廣島府中町 2026 新設；多要求型式認定／BAA</t>
        </is>
      </c>
    </row>
    <row r="27">
      <c r="A27" s="3" t="inlineStr">
        <is>
          <t>B. 消費者視角：每月支出與 3 年總成本（平地版，202Wh）</t>
        </is>
      </c>
      <c r="B27" s="4" t="n"/>
      <c r="C27" s="4" t="n"/>
      <c r="D27" s="4" t="n"/>
      <c r="E27" s="4" t="n"/>
      <c r="F27" s="4" t="n"/>
    </row>
    <row r="28">
      <c r="A28" s="5" t="inlineStr">
        <is>
          <t>路徑</t>
        </is>
      </c>
      <c r="B28" s="5" t="inlineStr">
        <is>
          <t>月付（¥）</t>
        </is>
      </c>
      <c r="C28" s="5" t="inlineStr">
        <is>
          <t>前置費用（¥）</t>
        </is>
      </c>
      <c r="D28" s="5" t="inlineStr">
        <is>
          <t>3 年總支出（¥）</t>
        </is>
      </c>
      <c r="E28" s="5" t="inlineStr">
        <is>
          <t>期末車體歸屬</t>
        </is>
      </c>
      <c r="F28" s="5" t="inlineStr">
        <is>
          <t>說明</t>
        </is>
      </c>
    </row>
    <row r="29">
      <c r="A29" s="11" t="inlineStr">
        <is>
          <t>① 通路零利率分期 36 回 + 電池訂閱</t>
        </is>
      </c>
      <c r="B29" s="13">
        <f>B6*(1+B11)/B10+B8</f>
        <v>2631.8365327494985</v>
      </c>
      <c r="C29" s="12" t="n">
        <v>0</v>
      </c>
      <c r="D29" s="24">
        <f>B6*(1+B11)+B8*36</f>
        <v>94746.11517898194</v>
      </c>
      <c r="E29" s="11" t="inlineStr">
        <is>
          <t>消費者</t>
        </is>
      </c>
      <c r="F29" s="6" t="inlineStr">
        <is>
          <t>主打對比：與 NORUDE 同價位，但車歸自己、電池永遠有效</t>
        </is>
      </c>
    </row>
    <row r="30">
      <c r="A30" s="11" t="inlineStr">
        <is>
          <t>② A 法人付電池訂閱、員工自買車體（分期）</t>
        </is>
      </c>
      <c r="B30" s="13">
        <f>B6/B10+B8*B15</f>
        <v>1607.8365327494985</v>
      </c>
      <c r="C30" s="12" t="n">
        <v>0</v>
      </c>
      <c r="D30" s="24">
        <f>B30*36</f>
        <v>57882.11517898194</v>
      </c>
      <c r="E30" s="11" t="inlineStr">
        <is>
          <t>員工</t>
        </is>
      </c>
      <c r="F30" s="6" t="inlineStr">
        <is>
          <t>員工月付 = 車體分期 + 電池訂閱現物給與之稅負；公司付電池月費</t>
        </is>
      </c>
    </row>
    <row r="31">
      <c r="A31" s="11" t="inlineStr">
        <is>
          <t>② B 法人全額租賃（車體 + 電池 + 保養），員工負擔課稅</t>
        </is>
      </c>
      <c r="B31" s="13">
        <f>((B6*(1-B17))/B10+B6*B16/12+B8+B18)*B15</f>
        <v>599.8856718773948</v>
      </c>
      <c r="C31" s="12" t="n">
        <v>0</v>
      </c>
      <c r="D31" s="24">
        <f>B31*36</f>
        <v>21595.884187586213</v>
      </c>
      <c r="E31" s="11" t="inlineStr">
        <is>
          <t>公司（期末殘值）</t>
        </is>
      </c>
      <c r="F31" s="6" t="inlineStr">
        <is>
          <t>公司月付見 C 段；員工僅負擔現物給與稅</t>
        </is>
      </c>
    </row>
    <row r="32">
      <c r="A32" s="11" t="inlineStr">
        <is>
          <t>③ ふるさと納税（車體 + 首年電池訂閱券）</t>
        </is>
      </c>
      <c r="B32" s="13">
        <f>B8*(36-B23)/36</f>
        <v>853.3333333333334</v>
      </c>
      <c r="C32" s="12">
        <f>B22</f>
        <v>2000.0</v>
      </c>
      <c r="D32" s="24">
        <f>B22+B8*(36-B23)</f>
        <v>32720.0</v>
      </c>
      <c r="E32" s="11" t="inlineStr">
        <is>
          <t>消費者</t>
        </is>
      </c>
      <c r="F32" s="6" t="inlineStr">
        <is>
          <t>前提：寄付額落在個人控除上限內（見 D 段），且產品符合地場產品基準</t>
        </is>
      </c>
    </row>
    <row r="33">
      <c r="A33" s="11" t="inlineStr">
        <is>
          <t>對照：NORUDE ViVi SX 整車訂閱</t>
        </is>
      </c>
      <c r="B33" s="12">
        <f>B13</f>
        <v>2890.0</v>
      </c>
      <c r="C33" s="7" t="n">
        <v>3520</v>
      </c>
      <c r="D33" s="12">
        <f>B13*36+C33</f>
        <v>107560.0</v>
      </c>
      <c r="E33" s="11" t="inlineStr">
        <is>
          <t>NORUDE（還車）</t>
        </is>
      </c>
      <c r="F33" s="6" t="inlineStr">
        <is>
          <t>事務手數料 ¥3,520；盜難補償 ¥700/月另計</t>
        </is>
      </c>
    </row>
    <row r="34">
      <c r="A34" s="11" t="inlineStr">
        <is>
          <t>對照：PELTECH 型式認定車買斷 ¥89,980</t>
        </is>
      </c>
      <c r="B34" s="12">
        <f>89980/36</f>
        <v>2499.4444444444443</v>
      </c>
      <c r="C34" s="7" t="n">
        <v>89980</v>
      </c>
      <c r="D34" s="12">
        <f>89980+5000*3</f>
        <v>104980.0</v>
      </c>
      <c r="E34" s="11" t="inlineStr">
        <is>
          <t>消費者</t>
        </is>
      </c>
      <c r="F34" s="6" t="inlineStr">
        <is>
          <t>含年維護 ¥5,000；第 4 年換電池 ¥35,000 未計入 3 年</t>
        </is>
      </c>
    </row>
    <row r="35">
      <c r="A35" s="16" t="inlineStr">
        <is>
          <t>① 對 NORUDE 之 3 年差額（負值 = 本案較省）</t>
        </is>
      </c>
      <c r="D35" s="13">
        <f>D29-D33</f>
        <v>-12813.884821018059</v>
      </c>
      <c r="F35" s="6" t="inlineStr">
        <is>
          <t>且車體歸消費者</t>
        </is>
      </c>
    </row>
    <row r="37">
      <c r="A37" s="3" t="inlineStr">
        <is>
          <t>B-2. 載童版（360Wh）：分期 + 自治體補助</t>
        </is>
      </c>
      <c r="B37" s="4" t="n"/>
      <c r="C37" s="4" t="n"/>
      <c r="D37" s="4" t="n"/>
      <c r="E37" s="4" t="n"/>
      <c r="F37" s="4" t="n"/>
    </row>
    <row r="38">
      <c r="A38" s="5" t="inlineStr">
        <is>
          <t>路徑</t>
        </is>
      </c>
      <c r="B38" s="5" t="inlineStr">
        <is>
          <t>月付（¥）</t>
        </is>
      </c>
      <c r="C38" s="5" t="inlineStr">
        <is>
          <t>前置費用（¥）</t>
        </is>
      </c>
      <c r="D38" s="5" t="inlineStr">
        <is>
          <t>3 年總支出（¥）</t>
        </is>
      </c>
      <c r="E38" s="5" t="inlineStr">
        <is>
          <t>期末車體歸屬</t>
        </is>
      </c>
      <c r="F38" s="5" t="inlineStr">
        <is>
          <t>說明</t>
        </is>
      </c>
    </row>
    <row r="39">
      <c r="A39" s="11" t="inlineStr">
        <is>
          <t>① 載童版分期 36 回 + 360Wh 訂閱</t>
        </is>
      </c>
      <c r="B39" s="13">
        <f>B7/B10+B9</f>
        <v>3291.1111111111113</v>
      </c>
      <c r="C39" s="12" t="n">
        <v>0</v>
      </c>
      <c r="D39" s="24">
        <f>B7+B9*36</f>
        <v>118480.0</v>
      </c>
      <c r="E39" s="11" t="inlineStr">
        <is>
          <t>消費者</t>
        </is>
      </c>
      <c r="F39" s="6" t="inlineStr">
        <is>
          <t>對照 NORUDE 子乗せ ¥5,690/月、Panasonic Gyutto ¥170,000</t>
        </is>
      </c>
    </row>
    <row r="40">
      <c r="A40" s="11" t="inlineStr">
        <is>
          <t>① 載童版 + 自治體補助（補助後車體一次付清）</t>
        </is>
      </c>
      <c r="B40" s="13">
        <f>B9</f>
        <v>1680.0</v>
      </c>
      <c r="C40" s="12">
        <f>MAX(B7-B25,0)</f>
        <v>18000.0</v>
      </c>
      <c r="D40" s="24">
        <f>C40+B9*36</f>
        <v>78480.0</v>
      </c>
      <c r="E40" s="11" t="inlineStr">
        <is>
          <t>消費者</t>
        </is>
      </c>
      <c r="F40" s="6" t="inlineStr">
        <is>
          <t>限有補助之自治體；須型式認定 + BAA</t>
        </is>
      </c>
    </row>
    <row r="41">
      <c r="A41" s="11" t="inlineStr">
        <is>
          <t>對照：NORUDE 子乗せ</t>
        </is>
      </c>
      <c r="B41" s="12">
        <f>B14</f>
        <v>5690.0</v>
      </c>
      <c r="C41" s="7" t="n">
        <v>3520</v>
      </c>
      <c r="D41" s="12">
        <f>B14*36+C41</f>
        <v>208360.0</v>
      </c>
      <c r="E41" s="11" t="inlineStr">
        <is>
          <t>NORUDE（還車）</t>
        </is>
      </c>
      <c r="F41" s="11" t="inlineStr"/>
    </row>
    <row r="43">
      <c r="A43" s="3" t="inlineStr">
        <is>
          <t>C. 營運商／通路視角：每戶 36 月淨值（電池訂閱）與車體通路成本</t>
        </is>
      </c>
      <c r="B43" s="4" t="n"/>
      <c r="C43" s="4" t="n"/>
      <c r="D43" s="4" t="n"/>
      <c r="E43" s="4" t="n"/>
      <c r="F43" s="4" t="n"/>
    </row>
    <row r="44">
      <c r="A44" s="5" t="inlineStr">
        <is>
          <t>路徑</t>
        </is>
      </c>
      <c r="B44" s="5" t="inlineStr">
        <is>
          <t>訂閱月費（¥）</t>
        </is>
      </c>
      <c r="C44" s="5" t="inlineStr">
        <is>
          <t>呆帳率</t>
        </is>
      </c>
      <c r="D44" s="5" t="inlineStr">
        <is>
          <t>CAC（¥）</t>
        </is>
      </c>
      <c r="E44" s="5" t="inlineStr">
        <is>
          <t>36 月單戶淨值（¥）</t>
        </is>
      </c>
      <c r="F44" s="5" t="inlineStr">
        <is>
          <t>車體側成本 / 說明</t>
        </is>
      </c>
    </row>
    <row r="45">
      <c r="A45" s="11" t="inlineStr">
        <is>
          <t>① 通路分期（B2C）</t>
        </is>
      </c>
      <c r="B45" s="12">
        <f>B8</f>
        <v>1280.0</v>
      </c>
      <c r="C45" s="29">
        <f>假設!$B$75</f>
        <v>0.03</v>
      </c>
      <c r="D45" s="26">
        <f>假設!$B$83</f>
        <v>3000.0</v>
      </c>
      <c r="E45" s="13">
        <f>(B8/(1+假設!$B$74)*(1-假設!$B$75-假設!$B$76)-(假設!$B$78+假設!$B$79+假設!$B$77)-電池訂閱費!C54-電池訂閱費!C53)*假設!$B$82+電池訂閱費!C49*假設!$B$84-電池訂閱費!C51-假設!$B$83</f>
        <v>11153.926169599987</v>
      </c>
      <c r="F45" s="6" t="str">
        <f>"車體通路須負擔分期手數料 ¥"&amp;TEXT(B6*B12,"#,##0")&amp;"/台（佔零售 "&amp;TEXT(B12,"0%")&amp;"）"</f>
        <v>車體通路須負擔分期手數料 ¥3,893/台（佔零售 8%）</v>
      </c>
    </row>
    <row r="46">
      <c r="A46" s="11" t="inlineStr">
        <is>
          <t>② 法人通路（B2B2C）</t>
        </is>
      </c>
      <c r="B46" s="12">
        <f>B8</f>
        <v>1280.0</v>
      </c>
      <c r="C46" s="29">
        <f>B19</f>
        <v>0.01</v>
      </c>
      <c r="D46" s="26">
        <f>B20</f>
        <v>1000.0</v>
      </c>
      <c r="E46" s="13">
        <f>(B8/(1+假設!$B$74)*(1-B19-假設!$B$76)-(假設!$B$78+假設!$B$79+假設!$B$77)-電池訂閱費!C54-電池訂閱費!C53)*假設!$B$82+電池訂閱費!C49*假設!$B$84-電池訂閱費!C51-B20</f>
        <v>13991.74435141817</v>
      </c>
      <c r="F46" s="6" t="inlineStr">
        <is>
          <t>公司統一請款、呆帳趨近零；Yamaha PAS リース 3 台起、NORUDE for Biz 為現成對照</t>
        </is>
      </c>
    </row>
    <row r="47">
      <c r="A47" s="11" t="inlineStr">
        <is>
          <t>③ ふるさと納税（首年由自治體支付，次年起 B2C）</t>
        </is>
      </c>
      <c r="B47" s="12">
        <f>B8</f>
        <v>1280.0</v>
      </c>
      <c r="C47" s="29">
        <f>假設!$B$75</f>
        <v>0.03</v>
      </c>
      <c r="D47" s="7" t="n">
        <v>0</v>
      </c>
      <c r="E47" s="13">
        <f>(B8/(1+假設!$B$74)*(1-假設!$B$75-假設!$B$76)-(假設!$B$78+假設!$B$79+假設!$B$77)-電池訂閱費!C54-電池訂閱費!C53)*假設!$B$82+電池訂閱費!C49*假設!$B$84-電池訂閱費!C51-0</f>
        <v>14153.926169599987</v>
      </c>
      <c r="F47" s="6" t="inlineStr">
        <is>
          <t>CAC 為零（自治體通路）；但須在地組裝加價、且首年訂閱以躉售價賣給自治體</t>
        </is>
      </c>
    </row>
    <row r="48">
      <c r="A48" s="16" t="inlineStr">
        <is>
          <t>② 對 ① 之單戶淨值增幅</t>
        </is>
      </c>
      <c r="E48" s="24">
        <f>E46-E45</f>
        <v>2837.818181818184</v>
      </c>
      <c r="F48" s="6" t="inlineStr">
        <is>
          <t>呆帳與 CAC 下降的合計效果</t>
        </is>
      </c>
    </row>
    <row r="49">
      <c r="A49" s="11" t="inlineStr">
        <is>
          <t>② B 公司月付（全額租賃）</t>
        </is>
      </c>
      <c r="B49" s="24">
        <f>((B6*(1-B17))/B10+B6*B16/12+B8+B18)</f>
        <v>2999.4283593869736</v>
      </c>
      <c r="F49" s="6" t="inlineStr">
        <is>
          <t>＝ 車體 ×(1−殘值)÷36 + 利息 + 電池月費 + 保養；對照 MOVE.eBike 法人月額 ¥14,000 起</t>
        </is>
      </c>
    </row>
    <row r="51">
      <c r="A51" s="3" t="inlineStr">
        <is>
          <t>D. ふるさと納税可行性檢核：需要的寄付額與年收門檻</t>
        </is>
      </c>
      <c r="B51" s="4" t="n"/>
      <c r="C51" s="4" t="n"/>
      <c r="D51" s="4" t="n"/>
      <c r="E51" s="4" t="n"/>
      <c r="F51" s="4" t="n"/>
    </row>
    <row r="52">
      <c r="A52" s="5" t="inlineStr">
        <is>
          <t>項目</t>
        </is>
      </c>
      <c r="B52" s="5" t="inlineStr">
        <is>
          <t>值（¥）</t>
        </is>
      </c>
      <c r="C52" s="5" t="inlineStr"/>
      <c r="D52" s="5" t="inlineStr"/>
      <c r="E52" s="5" t="inlineStr"/>
      <c r="F52" s="5" t="inlineStr">
        <is>
          <t>說明</t>
        </is>
      </c>
    </row>
    <row r="53">
      <c r="A53" s="11" t="inlineStr">
        <is>
          <t>返礼品價值 = 車體 + 首年電池訂閱 + 在地組裝加價</t>
        </is>
      </c>
      <c r="B53" s="12">
        <f>B6+B8*B23+B24</f>
        <v>70026.11517898194</v>
      </c>
      <c r="F53" s="6" t="inlineStr">
        <is>
          <t>以零售價計（自治體調達價通常低於零售）</t>
        </is>
      </c>
    </row>
    <row r="54">
      <c r="A54" s="16" t="inlineStr">
        <is>
          <t>所需寄付額 = 返礼品價值 ÷ 30%</t>
        </is>
      </c>
      <c r="B54" s="13">
        <f>B53/B21</f>
        <v>233420.38392993982</v>
      </c>
      <c r="F54" s="6" t="inlineStr">
        <is>
          <t>總務省 3 割規則</t>
        </is>
      </c>
    </row>
    <row r="55">
      <c r="A55" s="11" t="inlineStr">
        <is>
          <t>消費者實際成本（寄付在控除上限內）</t>
        </is>
      </c>
      <c r="B55" s="12">
        <f>B22</f>
        <v>2000.0</v>
      </c>
      <c r="F55" s="6" t="inlineStr">
        <is>
          <t>¥2,000 自付；其餘為所得稅與住民稅扣除</t>
        </is>
      </c>
    </row>
    <row r="56">
      <c r="A56" s="5" t="inlineStr">
        <is>
          <t>年收（萬圓，單身無扶養）</t>
        </is>
      </c>
      <c r="B56" s="5" t="inlineStr">
        <is>
          <t>控除上限概算（¥）</t>
        </is>
      </c>
      <c r="C56" s="5" t="inlineStr">
        <is>
          <t>可否全額扣除</t>
        </is>
      </c>
      <c r="D56" s="5" t="inlineStr">
        <is>
          <t>超出部分（¥）</t>
        </is>
      </c>
      <c r="E56" s="5" t="inlineStr"/>
      <c r="F56" s="5" t="inlineStr">
        <is>
          <t>說明</t>
        </is>
      </c>
    </row>
    <row r="57">
      <c r="A57" s="7" t="n">
        <v>300</v>
      </c>
      <c r="B57" s="7" t="n">
        <v>28000</v>
      </c>
      <c r="C57" s="30" t="str">
        <f>IF(B57&gt;=$B$54,"可","否")</f>
        <v>否</v>
      </c>
      <c r="D57" s="12">
        <f>MAX($B$54-B57,0)</f>
        <v>205420.38392993982</v>
      </c>
      <c r="F57" s="6" t="inlineStr">
        <is>
          <t>控除上限為概算（ふるさと納税ポータル試算），實際依家庭狀況；超出部分為消費者自付</t>
        </is>
      </c>
    </row>
    <row r="58">
      <c r="A58" s="7" t="n">
        <v>500</v>
      </c>
      <c r="B58" s="7" t="n">
        <v>61000</v>
      </c>
      <c r="C58" s="30" t="str">
        <f>IF(B58&gt;=$B$54,"可","否")</f>
        <v>否</v>
      </c>
      <c r="D58" s="12">
        <f>MAX($B$54-B58,0)</f>
        <v>172420.38392993982</v>
      </c>
      <c r="F58" s="6" t="inlineStr">
        <is>
          <t>控除上限為概算（ふるさと納税ポータル試算），實際依家庭狀況；超出部分為消費者自付</t>
        </is>
      </c>
    </row>
    <row r="59">
      <c r="A59" s="7" t="n">
        <v>700</v>
      </c>
      <c r="B59" s="7" t="n">
        <v>108000</v>
      </c>
      <c r="C59" s="30" t="str">
        <f>IF(B59&gt;=$B$54,"可","否")</f>
        <v>否</v>
      </c>
      <c r="D59" s="12">
        <f>MAX($B$54-B59,0)</f>
        <v>125420.38392993982</v>
      </c>
      <c r="F59" s="6" t="inlineStr">
        <is>
          <t>控除上限為概算（ふるさと納税ポータル試算），實際依家庭狀況；超出部分為消費者自付</t>
        </is>
      </c>
    </row>
    <row r="60">
      <c r="A60" s="7" t="n">
        <v>1000</v>
      </c>
      <c r="B60" s="7" t="n">
        <v>176000</v>
      </c>
      <c r="C60" s="30" t="str">
        <f>IF(B60&gt;=$B$54,"可","否")</f>
        <v>否</v>
      </c>
      <c r="D60" s="12">
        <f>MAX($B$54-B60,0)</f>
        <v>57420.383929939824</v>
      </c>
      <c r="F60" s="6" t="inlineStr">
        <is>
          <t>控除上限為概算（ふるさと納税ポータル試算），實際依家庭狀況；超出部分為消費者自付</t>
        </is>
      </c>
    </row>
    <row r="61">
      <c r="A61" s="7" t="n">
        <v>1500</v>
      </c>
      <c r="B61" s="7" t="n">
        <v>389000</v>
      </c>
      <c r="C61" s="30" t="str">
        <f>IF(B61&gt;=$B$54,"可","否")</f>
        <v>可</v>
      </c>
      <c r="D61" s="12">
        <f>MAX($B$54-B61,0)</f>
        <v>0.0</v>
      </c>
      <c r="F61" s="6" t="inlineStr">
        <is>
          <t>控除上限為概算（ふるさと納税ポータル試算），實際依家庭狀況；超出部分為消費者自付</t>
        </is>
      </c>
    </row>
    <row r="62">
      <c r="A62" s="16" t="inlineStr">
        <is>
          <t>判讀</t>
        </is>
      </c>
      <c r="F62" s="6" t="inlineStr">
        <is>
          <t>車體便宜反而讓ふるさと納税不划算：寄付額是產品價值的 3.3 倍，只有高年收者能全額扣除；且地場產品基準要求在地製造，達方無日本工廠。此路徑僅在「日本最終組裝 + 鎖定年收 1,000 萬圓以上家庭」時成立。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三個產品變體：平地版／日本平地版／坡地載童版</t>
        </is>
      </c>
    </row>
    <row r="2">
      <c r="A2" s="2" t="inlineStr">
        <is>
          <t>同一車體平台，差異化延到總裝段。材料增額對配置 C（不含電池、不含充電器）計；RMB。</t>
        </is>
      </c>
    </row>
    <row r="4">
      <c r="A4" s="3" t="inlineStr">
        <is>
          <t>A. 規格矩陣</t>
        </is>
      </c>
      <c r="B4" s="4" t="n"/>
      <c r="C4" s="4" t="n"/>
      <c r="D4" s="4" t="n"/>
      <c r="E4" s="4" t="n"/>
    </row>
    <row r="5">
      <c r="A5" s="5" t="inlineStr">
        <is>
          <t>項目</t>
        </is>
      </c>
      <c r="B5" s="5" t="inlineStr">
        <is>
          <t>平地版（歐洲／台灣）</t>
        </is>
      </c>
      <c r="C5" s="5" t="inlineStr">
        <is>
          <t>日本平地版</t>
        </is>
      </c>
      <c r="D5" s="5" t="inlineStr">
        <is>
          <t>坡地載童版（日本、坡地城市）</t>
        </is>
      </c>
      <c r="E5" s="5" t="inlineStr">
        <is>
          <t>說明</t>
        </is>
      </c>
    </row>
    <row r="6">
      <c r="A6" s="31" t="inlineStr">
        <is>
          <t>感測</t>
        </is>
      </c>
      <c r="B6" s="6" t="inlineStr">
        <is>
          <t>踏頻 + IMU + 相電流估算（B 方案）</t>
        </is>
      </c>
      <c r="C6" s="6" t="inlineStr">
        <is>
          <t>中軸扭力感測（法規）</t>
        </is>
      </c>
      <c r="D6" s="6" t="inlineStr">
        <is>
          <t>中軸扭力感測</t>
        </is>
      </c>
      <c r="E6" s="6" t="inlineStr">
        <is>
          <t>日本助力比以人力為分母，踏頻不能取證</t>
        </is>
      </c>
    </row>
    <row r="7">
      <c r="A7" s="31" t="inlineStr">
        <is>
          <t>控制邏輯</t>
        </is>
      </c>
      <c r="B7" s="6" t="inlineStr">
        <is>
          <t>速度保持：目標 20/22/25 km/h，22–25 線性衰減</t>
        </is>
      </c>
      <c r="C7" s="6" t="inlineStr">
        <is>
          <t>2:1 → 0 線性遞減（10–24 km/h）</t>
        </is>
      </c>
      <c r="D7" s="6" t="inlineStr">
        <is>
          <t>同日本平地版</t>
        </is>
      </c>
      <c r="E7" s="6" t="inlineStr">
        <is>
          <t>兩套韌體皆鎖 OTP，出廠依市場燒錄</t>
        </is>
      </c>
    </row>
    <row r="8">
      <c r="A8" s="31" t="inlineStr">
        <is>
          <t>輪徑／齒比</t>
        </is>
      </c>
      <c r="B8" s="6" t="inlineStr">
        <is>
          <t>26 吋或 700c、44/16</t>
        </is>
      </c>
      <c r="C8" s="6" t="inlineStr">
        <is>
          <t>26 吋、44/16</t>
        </is>
      </c>
      <c r="D8" s="6" t="inlineStr">
        <is>
          <t>20–24 吋、42/18</t>
        </is>
      </c>
      <c r="E8" s="6" t="inlineStr">
        <is>
          <t>小輪徑 + 低齒比補單速在坡地的踏頻與扭矩</t>
        </is>
      </c>
    </row>
    <row r="9">
      <c r="A9" s="31" t="inlineStr">
        <is>
          <t>馬達</t>
        </is>
      </c>
      <c r="B9" s="6" t="inlineStr">
        <is>
          <t>商品化 250W 齒輪輪轂 30–32 N·m</t>
        </is>
      </c>
      <c r="C9" s="6" t="inlineStr">
        <is>
          <t>同左</t>
        </is>
      </c>
      <c r="D9" s="6" t="inlineStr">
        <is>
          <t>40–45 N·m 級齒輪輪轂，含溫度感測與降額</t>
        </is>
      </c>
      <c r="E9" s="6" t="inlineStr">
        <is>
          <t>載童 125 kg 爬 10% 坡需 33 N·m（20 吋）</t>
        </is>
      </c>
    </row>
    <row r="10">
      <c r="A10" s="31" t="inlineStr">
        <is>
          <t>煞車</t>
        </is>
      </c>
      <c r="B10" s="6" t="inlineStr">
        <is>
          <t>V 煞前後</t>
        </is>
      </c>
      <c r="C10" s="6" t="inlineStr">
        <is>
          <t>V 煞前後</t>
        </is>
      </c>
      <c r="D10" s="6" t="inlineStr">
        <is>
          <t>後機械碟 + 前 V</t>
        </is>
      </c>
      <c r="E10" s="6" t="inlineStr">
        <is>
          <t>30 kg 整車加小孩下坡，V 煞不過 JIS</t>
        </is>
      </c>
    </row>
    <row r="11">
      <c r="A11" s="31" t="inlineStr">
        <is>
          <t>車架</t>
        </is>
      </c>
      <c r="B11" s="6" t="inlineStr">
        <is>
          <t>公版鋁／鋼、無內走線</t>
        </is>
      </c>
      <c r="C11" s="6" t="inlineStr">
        <is>
          <t>公版</t>
        </is>
      </c>
      <c r="D11" s="6" t="inlineStr">
        <is>
          <t>通過幼児二人同乗基準之公版（BAA／SG）、両立スタンド、把手鎖</t>
        </is>
      </c>
      <c r="E11" s="6" t="inlineStr">
        <is>
          <t>仍是零開模公版</t>
        </is>
      </c>
    </row>
    <row r="12">
      <c r="A12" s="31" t="inlineStr">
        <is>
          <t>電池訂閱層級</t>
        </is>
      </c>
      <c r="B12" s="6" t="inlineStr">
        <is>
          <t>180／252Wh</t>
        </is>
      </c>
      <c r="C12" s="6" t="inlineStr">
        <is>
          <t>144／202Wh</t>
        </is>
      </c>
      <c r="D12" s="6" t="inlineStr">
        <is>
          <t>360Wh（更換週期抓 36 月）</t>
        </is>
      </c>
      <c r="E12" s="6" t="inlineStr">
        <is>
          <t>電池在訂閱側切換，不動出廠價</t>
        </is>
      </c>
    </row>
    <row r="13">
      <c r="A13" s="31" t="inlineStr">
        <is>
          <t>目標市場</t>
        </is>
      </c>
      <c r="B13" s="6" t="inlineStr">
        <is>
          <t>台北、阿姆斯特丹、柏林等平地都會</t>
        </is>
      </c>
      <c r="C13" s="6" t="inlineStr">
        <is>
          <t>東京 23 區、大阪</t>
        </is>
      </c>
      <c r="D13" s="6" t="inlineStr">
        <is>
          <t>橫濱、神戶、長崎；日本載童家庭</t>
        </is>
      </c>
      <c r="E13" s="6" t="inlineStr">
        <is>
          <t>長坡（&gt;10 分鐘連續爬升）不保證</t>
        </is>
      </c>
    </row>
    <row r="15">
      <c r="A15" s="3" t="inlineStr">
        <is>
          <t>B. 材料增額與出廠價（RMB，對配置 C）</t>
        </is>
      </c>
      <c r="B15" s="4" t="n"/>
      <c r="C15" s="4" t="n"/>
      <c r="D15" s="4" t="n"/>
      <c r="E15" s="4" t="n"/>
    </row>
    <row r="16">
      <c r="A16" s="5" t="inlineStr">
        <is>
          <t>項目</t>
        </is>
      </c>
      <c r="B16" s="5" t="inlineStr">
        <is>
          <t>平地版</t>
        </is>
      </c>
      <c r="C16" s="5" t="inlineStr">
        <is>
          <t>日本平地版</t>
        </is>
      </c>
      <c r="D16" s="5" t="inlineStr">
        <is>
          <t>坡地載童版</t>
        </is>
      </c>
      <c r="E16" s="5" t="inlineStr">
        <is>
          <t>依據</t>
        </is>
      </c>
    </row>
    <row r="17">
      <c r="A17" s="11" t="inlineStr">
        <is>
          <t>配置 C 材料（不含電池、充電器）</t>
        </is>
      </c>
      <c r="B17" s="26">
        <f>入手價!B8</f>
        <v>799.216</v>
      </c>
      <c r="C17" s="26">
        <f>入手價!B8</f>
        <v>799.216</v>
      </c>
      <c r="D17" s="26">
        <f>入手價!B8</f>
        <v>799.216</v>
      </c>
      <c r="E17" s="11" t="inlineStr">
        <is>
          <t>入手價表</t>
        </is>
      </c>
    </row>
    <row r="18">
      <c r="A18" s="6" t="inlineStr">
        <is>
          <t>扭力感測淨增額</t>
        </is>
      </c>
      <c r="B18" s="7" t="n">
        <v>0</v>
      </c>
      <c r="C18" s="26">
        <f>假設!$B$14</f>
        <v>160.0</v>
      </c>
      <c r="D18" s="26">
        <f>假設!$B$14</f>
        <v>160.0</v>
      </c>
      <c r="E18" s="6" t="inlineStr">
        <is>
          <t>V3 分頁 7</t>
        </is>
      </c>
    </row>
    <row r="19">
      <c r="A19" s="6" t="inlineStr">
        <is>
          <t>日本非 BOM 增額（認定／PSE／說明書／OTP）</t>
        </is>
      </c>
      <c r="B19" s="7" t="n">
        <v>0</v>
      </c>
      <c r="C19" s="26">
        <f>假設!$B$15</f>
        <v>7.3</v>
      </c>
      <c r="D19" s="26">
        <f>假設!$B$15</f>
        <v>7.3</v>
      </c>
      <c r="E19" s="6" t="inlineStr">
        <is>
          <t>V3 分頁 7</t>
        </is>
      </c>
    </row>
    <row r="20">
      <c r="A20" s="6" t="inlineStr">
        <is>
          <t>馬達升級 40–45 N·m 級</t>
        </is>
      </c>
      <c r="B20" s="7" t="n">
        <v>0</v>
      </c>
      <c r="C20" s="7" t="n">
        <v>0</v>
      </c>
      <c r="D20" s="7" t="n">
        <v>80</v>
      </c>
      <c r="E20" s="6" t="inlineStr">
        <is>
          <t>假設：商品化 45 N·m 齒輪輪轂 RMB 280–300 vs 205</t>
        </is>
      </c>
    </row>
    <row r="21">
      <c r="A21" s="6" t="inlineStr">
        <is>
          <t>後機械碟煞（含碟煞座）</t>
        </is>
      </c>
      <c r="B21" s="7" t="n">
        <v>0</v>
      </c>
      <c r="C21" s="7" t="n">
        <v>0</v>
      </c>
      <c r="D21" s="7" t="n">
        <v>54</v>
      </c>
      <c r="E21" s="6" t="inlineStr">
        <is>
          <t>V3 分頁 2：機械碟 vs V 煞差 54</t>
        </is>
      </c>
    </row>
    <row r="22">
      <c r="A22" s="6" t="inlineStr">
        <is>
          <t>子乗せ車架強度與両立スタンド、把手鎖</t>
        </is>
      </c>
      <c r="B22" s="7" t="n">
        <v>0</v>
      </c>
      <c r="C22" s="7" t="n">
        <v>0</v>
      </c>
      <c r="D22" s="7" t="n">
        <v>90</v>
      </c>
      <c r="E22" s="6" t="inlineStr">
        <is>
          <t>假設：車架 +60、支撐與配件 +30</t>
        </is>
      </c>
    </row>
    <row r="23">
      <c r="A23" s="6" t="inlineStr">
        <is>
          <t>20 吋輪組差額</t>
        </is>
      </c>
      <c r="B23" s="7" t="n">
        <v>0</v>
      </c>
      <c r="C23" s="7" t="n">
        <v>0</v>
      </c>
      <c r="D23" s="7" t="n">
        <v>-10</v>
      </c>
      <c r="E23" s="6" t="inlineStr">
        <is>
          <t>20 吋成輪較 26 吋便宜</t>
        </is>
      </c>
    </row>
    <row r="24">
      <c r="A24" s="6" t="inlineStr">
        <is>
          <t>型式認定 + 子乗せ檢測攤提</t>
        </is>
      </c>
      <c r="B24" s="7" t="n">
        <v>0</v>
      </c>
      <c r="C24" s="7" t="n">
        <v>0</v>
      </c>
      <c r="D24" s="7" t="n">
        <v>8</v>
      </c>
      <c r="E24" s="6" t="inlineStr">
        <is>
          <t>¥2–3M ÷ 2 萬台 ≈ ¥120 ≈ RMB 5–8</t>
        </is>
      </c>
    </row>
    <row r="25">
      <c r="A25" s="16" t="inlineStr">
        <is>
          <t>材料合計（RMB）</t>
        </is>
      </c>
      <c r="B25" s="24">
        <f>B17+SUM(B18:B24)</f>
        <v>799.216</v>
      </c>
      <c r="C25" s="24">
        <f>C17+SUM(C18:C24)</f>
        <v>966.5160000000001</v>
      </c>
      <c r="D25" s="24">
        <f>D17+SUM(D18:D24)</f>
        <v>1188.516</v>
      </c>
    </row>
    <row r="26">
      <c r="A26" s="16" t="inlineStr">
        <is>
          <t>出廠價 @ODM 13%（RMB，不含電池）</t>
        </is>
      </c>
      <c r="B26" s="13">
        <f>(B25+假設!$B$7)/(1-假設!$B$8)</f>
        <v>943.9264367816093</v>
      </c>
      <c r="C26" s="13">
        <f>(C25+假設!$B$7)/(1-假設!$B$8)</f>
        <v>1136.225287356322</v>
      </c>
      <c r="D26" s="13">
        <f>(D25+假設!$B$7)/(1-假設!$B$8)</f>
        <v>1391.3977011494253</v>
      </c>
    </row>
    <row r="27">
      <c r="A27" s="11" t="inlineStr">
        <is>
          <t>出廠價 @ODM 18%（RMB）</t>
        </is>
      </c>
      <c r="B27" s="12">
        <f>(B25+假設!$B$7)/(1-假設!$B$9)</f>
        <v>1001.4829268292682</v>
      </c>
      <c r="C27" s="12">
        <f>(C25+假設!$B$7)/(1-假設!$B$9)</f>
        <v>1205.5073170731707</v>
      </c>
      <c r="D27" s="12">
        <f>(D25+假設!$B$7)/(1-假設!$B$9)</f>
        <v>1476.239024390244</v>
      </c>
    </row>
    <row r="28">
      <c r="A28" s="11" t="inlineStr">
        <is>
          <t>出廠價 @13%（NT$）</t>
        </is>
      </c>
      <c r="B28" s="12">
        <f>B26*假設!$B$20</f>
        <v>4285.426022988506</v>
      </c>
      <c r="C28" s="12">
        <f>C26*假設!$B$20</f>
        <v>5158.462804597702</v>
      </c>
      <c r="D28" s="12">
        <f>D26*假設!$B$20</f>
        <v>6316.945563218391</v>
      </c>
    </row>
    <row r="29">
      <c r="A29" s="11" t="inlineStr">
        <is>
          <t>出廠價 @13%（JPY）</t>
        </is>
      </c>
      <c r="B29" s="12">
        <f>B26*假設!$B$21</f>
        <v>22182.271264367817</v>
      </c>
      <c r="C29" s="12">
        <f>C26*假設!$B$21</f>
        <v>26701.29425287357</v>
      </c>
      <c r="D29" s="12">
        <f>D26*假設!$B$21</f>
        <v>32697.845977011493</v>
      </c>
    </row>
    <row r="30">
      <c r="A30" s="11" t="inlineStr">
        <is>
          <t>對平地版出廠價之溢出</t>
        </is>
      </c>
      <c r="B30" s="17">
        <f>B26/$B$26-1</f>
        <v>0.0</v>
      </c>
      <c r="C30" s="17">
        <f>C26/$B$26-1</f>
        <v>0.2037222850017537</v>
      </c>
      <c r="D30" s="17">
        <f>D26/$B$26-1</f>
        <v>0.4740531114834585</v>
      </c>
    </row>
    <row r="32">
      <c r="A32" s="3" t="inlineStr">
        <is>
          <t>C. 各市場零售（含稅）與電池訂閱</t>
        </is>
      </c>
      <c r="B32" s="4" t="n"/>
      <c r="C32" s="4" t="n"/>
      <c r="D32" s="4" t="n"/>
      <c r="E32" s="4" t="n"/>
    </row>
    <row r="33">
      <c r="A33" s="5" t="inlineStr">
        <is>
          <t>項目</t>
        </is>
      </c>
      <c r="B33" s="5" t="inlineStr">
        <is>
          <t>平地版</t>
        </is>
      </c>
      <c r="C33" s="5" t="inlineStr">
        <is>
          <t>日本平地版</t>
        </is>
      </c>
      <c r="D33" s="5" t="inlineStr">
        <is>
          <t>坡地載童版</t>
        </is>
      </c>
      <c r="E33" s="5" t="inlineStr">
        <is>
          <t>公式</t>
        </is>
      </c>
    </row>
    <row r="34">
      <c r="A34" s="11" t="inlineStr">
        <is>
          <t>歐洲 DTC 零售 €（台越製）</t>
        </is>
      </c>
      <c r="B34" s="13">
        <f>(B26/假設!$B$19*(1+假設!$B$25)+假設!$B$26)/(1-假設!$B$27)*(1+假設!$B$46)</f>
        <v>184.25709506500309</v>
      </c>
      <c r="C34" s="30" t="inlineStr">
        <is>
          <t>—</t>
        </is>
      </c>
      <c r="D34" s="12">
        <f>(D26/假設!$B$19*(1+假設!$B$25)+假設!$B$26)/(1-假設!$B$27)*(1+假設!$B$46)</f>
        <v>264.66168949143656</v>
      </c>
      <c r="E34" s="11" t="inlineStr">
        <is>
          <t>入手價表結構；坡地版在歐洲坡地城市亦適用</t>
        </is>
      </c>
    </row>
    <row r="35">
      <c r="A35" s="11" t="inlineStr">
        <is>
          <t>台灣 DTC 零售 NT$</t>
        </is>
      </c>
      <c r="B35" s="13">
        <f>(B28+150)/(1-假設!$B$30)*(1+假設!$B$31)</f>
        <v>7164.9189602122015</v>
      </c>
      <c r="C35" s="30" t="inlineStr">
        <is>
          <t>—</t>
        </is>
      </c>
      <c r="D35" s="12">
        <f>(D28+150)/(1-假設!$B$30)*(1+假設!$B$31)</f>
        <v>10446.604371352785</v>
      </c>
      <c r="E35" s="11" t="inlineStr">
        <is>
          <t>台灣坡地（北投、基隆）可用坡地版</t>
        </is>
      </c>
    </row>
    <row r="36">
      <c r="A36" s="11" t="inlineStr">
        <is>
          <t>日本 PB 通路零售 ¥（税込）</t>
        </is>
      </c>
      <c r="B36" s="30" t="inlineStr">
        <is>
          <t>—</t>
        </is>
      </c>
      <c r="C36" s="13">
        <f>((C29*(1+假設!$B$32)+假設!$B$33+假設!$B$34+假設!$B$35+假設!$B$36)-假設!$B$37)/(1-假設!$B$38)*(1+假設!$B$41)</f>
        <v>48666.11517898195</v>
      </c>
      <c r="D36" s="13">
        <f>((D29*(1+假設!$B$32)+假設!$B$33+假設!$B$34+假設!$B$35+假設!$B$36)-假設!$B$37)/(1-假設!$B$38)*(1+假設!$B$41)</f>
        <v>58466.193996715934</v>
      </c>
      <c r="E36" s="11" t="inlineStr">
        <is>
          <t>V3 分頁 8 情境 3；載童版不含兒童座椅</t>
        </is>
      </c>
    </row>
    <row r="37">
      <c r="A37" s="11" t="inlineStr">
        <is>
          <t>日本 BESV 通路零售 ¥（15% + 22%）</t>
        </is>
      </c>
      <c r="B37" s="30" t="inlineStr">
        <is>
          <t>—</t>
        </is>
      </c>
      <c r="C37" s="12">
        <f>(C29*(1+假設!$B$32)+假設!$B$33+假設!$B$34+假設!$B$35+假設!$B$36)/(1-假設!$B$39)/(1-假設!$B$40)*(1+假設!$B$41)</f>
        <v>57188.96021913629</v>
      </c>
      <c r="D37" s="12">
        <f>(D29*(1+假設!$B$32)+假設!$B$33+假設!$B$34+假設!$B$35+假設!$B$36)/(1-假設!$B$39)/(1-假設!$B$40)*(1+假設!$B$41)</f>
        <v>67535.9514294135</v>
      </c>
      <c r="E37" s="11" t="inlineStr">
        <is>
          <t>V3 分頁 8 情境 2</t>
        </is>
      </c>
    </row>
    <row r="38">
      <c r="A38" s="11" t="inlineStr">
        <is>
          <t>電池訂閱月費（建議定價）</t>
        </is>
      </c>
      <c r="B38" s="30" t="str">
        <f>"€"&amp;TEXT(電池訂閱費!C19,"0.0")&amp;" / NT$"&amp;TEXT(電池訂閱費!C40,"#,##0")</f>
        <v>€9.9 / NT$299</v>
      </c>
      <c r="C38" s="30" t="str">
        <f>"¥"&amp;TEXT(電池訂閱費!C61,"#,##0")</f>
        <v>¥1,280</v>
      </c>
      <c r="D38" s="30" t="str">
        <f>"¥"&amp;TEXT(電池訂閱費!D61,"#,##0")</f>
        <v>¥1,680</v>
      </c>
      <c r="E38" s="11" t="inlineStr">
        <is>
          <t>電池訂閱費表</t>
        </is>
      </c>
    </row>
    <row r="39">
      <c r="A39" s="11" t="inlineStr">
        <is>
          <t>日本對照（税込）</t>
        </is>
      </c>
      <c r="B39" s="30" t="inlineStr">
        <is>
          <t>—</t>
        </is>
      </c>
      <c r="C39" s="6" t="inlineStr">
        <is>
          <t>Cainz PB ¥59,800／Panasonic ビビ EYX ¥89,800</t>
        </is>
      </c>
      <c r="D39" s="6" t="inlineStr">
        <is>
          <t>Panasonic Gyutto ¥170,000／Yamaha PAS Kiss ¥187,000</t>
        </is>
      </c>
      <c r="E39" s="11" t="inlineStr">
        <is>
          <t>V3 分頁 8 C 段</t>
        </is>
      </c>
    </row>
    <row r="41">
      <c r="A41" s="3" t="inlineStr">
        <is>
          <t>D. 物理檢核：輪端扭矩、踏頻與騎士出力（藍字可改）</t>
        </is>
      </c>
      <c r="B41" s="4" t="n"/>
      <c r="C41" s="4" t="n"/>
      <c r="D41" s="4" t="n"/>
      <c r="E41" s="4" t="n"/>
    </row>
    <row r="42">
      <c r="A42" s="5" t="inlineStr">
        <is>
          <t>參數</t>
        </is>
      </c>
      <c r="B42" s="5" t="inlineStr">
        <is>
          <t>值</t>
        </is>
      </c>
      <c r="C42" s="5" t="inlineStr"/>
      <c r="D42" s="5" t="inlineStr"/>
      <c r="E42" s="5" t="inlineStr">
        <is>
          <t>說明</t>
        </is>
      </c>
    </row>
    <row r="43">
      <c r="A43" s="11" t="inlineStr">
        <is>
          <t>重力加速度 g</t>
        </is>
      </c>
      <c r="B43" s="9" t="n">
        <v>9.81</v>
      </c>
      <c r="E43" s="11" t="inlineStr">
        <is>
          <t>m/s²</t>
        </is>
      </c>
    </row>
    <row r="44">
      <c r="A44" s="11" t="inlineStr">
        <is>
          <t>滾動阻力係數 Crr</t>
        </is>
      </c>
      <c r="B44" s="9" t="n">
        <v>0.006</v>
      </c>
      <c r="E44" s="11" t="inlineStr">
        <is>
          <t>盡調報告假設</t>
        </is>
      </c>
    </row>
    <row r="45">
      <c r="A45" s="11" t="inlineStr">
        <is>
          <t>空氣阻力（低速，N）</t>
        </is>
      </c>
      <c r="B45" s="7" t="n">
        <v>2</v>
      </c>
      <c r="E45" s="11" t="inlineStr">
        <is>
          <t>8–10 km/h 時約 2 N</t>
        </is>
      </c>
    </row>
    <row r="46">
      <c r="A46" s="11" t="inlineStr">
        <is>
          <t>26 吋輪半徑（m）</t>
        </is>
      </c>
      <c r="B46" s="9" t="n">
        <v>0.33</v>
      </c>
      <c r="E46" s="11" t="inlineStr">
        <is>
          <t>700c 亦約 0.33–0.34</t>
        </is>
      </c>
    </row>
    <row r="47">
      <c r="A47" s="11" t="inlineStr">
        <is>
          <t>20 吋輪半徑（m）</t>
        </is>
      </c>
      <c r="B47" s="9" t="n">
        <v>0.254</v>
      </c>
      <c r="E47" s="11" t="inlineStr"/>
    </row>
    <row r="48">
      <c r="A48" s="11" t="inlineStr">
        <is>
          <t>坡地檢核車速（km/h）</t>
        </is>
      </c>
      <c r="B48" s="7" t="n">
        <v>8</v>
      </c>
      <c r="E48" s="11" t="inlineStr">
        <is>
          <t>日本 10 km/h 以下適用 2:1 上限</t>
        </is>
      </c>
    </row>
    <row r="49">
      <c r="A49" s="11" t="inlineStr">
        <is>
          <t>日本騎士最低出力占比</t>
        </is>
      </c>
      <c r="B49" s="9" t="n">
        <v>0.3333</v>
      </c>
      <c r="E49" s="11" t="inlineStr">
        <is>
          <t>助力比 1:2 → 騎士 ≥ 1/3</t>
        </is>
      </c>
    </row>
    <row r="50">
      <c r="A50" s="11" t="inlineStr">
        <is>
          <t>商品化輪轂輪端扭矩上限（N·m）</t>
        </is>
      </c>
      <c r="B50" s="7" t="n">
        <v>32</v>
      </c>
      <c r="E50" s="11" t="inlineStr">
        <is>
          <t>Bafang RM G010 級</t>
        </is>
      </c>
    </row>
    <row r="51">
      <c r="A51" s="11" t="inlineStr">
        <is>
          <t>45 N·m 級輪轂上限（N·m）</t>
        </is>
      </c>
      <c r="B51" s="7" t="n">
        <v>45</v>
      </c>
      <c r="E51" s="11" t="inlineStr"/>
    </row>
    <row r="53">
      <c r="A53" s="5" t="inlineStr">
        <is>
          <t>情境</t>
        </is>
      </c>
      <c r="B53" s="5" t="inlineStr">
        <is>
          <t>總重 kg</t>
        </is>
      </c>
      <c r="C53" s="5" t="inlineStr">
        <is>
          <t>坡度</t>
        </is>
      </c>
      <c r="D53" s="5" t="inlineStr">
        <is>
          <t>輪端扭矩需求 26 吋（N·m）</t>
        </is>
      </c>
      <c r="E53" s="5" t="inlineStr">
        <is>
          <t>輪端扭矩需求 20 吋（N·m）</t>
        </is>
      </c>
    </row>
    <row r="54">
      <c r="A54" s="11" t="inlineStr">
        <is>
          <t>平地通勤</t>
        </is>
      </c>
      <c r="B54" s="7" t="n">
        <v>100</v>
      </c>
      <c r="C54" s="8" t="n">
        <v>0.08</v>
      </c>
      <c r="D54" s="32">
        <f>(B54*$B$43*(C54+$B$44)+$B$45)*$B$46</f>
        <v>28.500780000000006</v>
      </c>
      <c r="E54" s="32">
        <f>(B54*$B$43*(C54+$B$44)+$B$45)*$B$47</f>
        <v>21.936964000000003</v>
      </c>
    </row>
    <row r="55">
      <c r="A55" s="11" t="inlineStr">
        <is>
          <t>平地通勤</t>
        </is>
      </c>
      <c r="B55" s="7" t="n">
        <v>100</v>
      </c>
      <c r="C55" s="8" t="n">
        <v>0.1</v>
      </c>
      <c r="D55" s="32">
        <f>(B55*$B$43*(C55+$B$44)+$B$45)*$B$46</f>
        <v>34.97538</v>
      </c>
      <c r="E55" s="32">
        <f>(B55*$B$43*(C55+$B$44)+$B$45)*$B$47</f>
        <v>26.920444</v>
      </c>
    </row>
    <row r="56">
      <c r="A56" s="11" t="inlineStr">
        <is>
          <t>載童</t>
        </is>
      </c>
      <c r="B56" s="7" t="n">
        <v>125</v>
      </c>
      <c r="C56" s="8" t="n">
        <v>0.08</v>
      </c>
      <c r="D56" s="32">
        <f>(B56*$B$43*(C56+$B$44)+$B$45)*$B$46</f>
        <v>35.460975000000005</v>
      </c>
      <c r="E56" s="32">
        <f>(B56*$B$43*(C56+$B$44)+$B$45)*$B$47</f>
        <v>27.294205</v>
      </c>
    </row>
    <row r="57">
      <c r="A57" s="11" t="inlineStr">
        <is>
          <t>載童</t>
        </is>
      </c>
      <c r="B57" s="7" t="n">
        <v>125</v>
      </c>
      <c r="C57" s="8" t="n">
        <v>0.1</v>
      </c>
      <c r="D57" s="32">
        <f>(B57*$B$43*(C57+$B$44)+$B$45)*$B$46</f>
        <v>43.55422500000001</v>
      </c>
      <c r="E57" s="32">
        <f>(B57*$B$43*(C57+$B$44)+$B$45)*$B$47</f>
        <v>33.523555</v>
      </c>
    </row>
    <row r="58">
      <c r="A58" s="6" t="inlineStr">
        <is>
          <t>判定：商品化 32 N·m 在 26 吋只夠 100 kg／8%；載童 125 kg／10% 需 45 N·m 級或改 20 吋</t>
        </is>
      </c>
    </row>
    <row r="60">
      <c r="A60" s="5" t="inlineStr">
        <is>
          <t>日本 2:1 下騎士出力（載童 125 kg、8% 坡、8 km/h）</t>
        </is>
      </c>
      <c r="B60" s="5" t="inlineStr">
        <is>
          <t>26 吋 44/16</t>
        </is>
      </c>
      <c r="C60" s="5" t="inlineStr">
        <is>
          <t>26 吋 38/18</t>
        </is>
      </c>
      <c r="D60" s="5" t="inlineStr">
        <is>
          <t>20 吋 42/18</t>
        </is>
      </c>
      <c r="E60" s="5" t="inlineStr">
        <is>
          <t>說明</t>
        </is>
      </c>
    </row>
    <row r="61">
      <c r="A61" s="11" t="inlineStr">
        <is>
          <t>總功率需求 W</t>
        </is>
      </c>
      <c r="B61" s="12">
        <f>(B56*$B$43*(C56+$B$44)+$B$45)*$B$48/3.6</f>
        <v>238.79444444444445</v>
      </c>
      <c r="C61" s="12">
        <f>(B56*$B$43*(C56+$B$44)+$B$45)*$B$48/3.6</f>
        <v>238.79444444444445</v>
      </c>
      <c r="D61" s="12">
        <f>(B56*$B$43*(C56+$B$44)+$B$45)*$B$48/3.6</f>
        <v>238.79444444444445</v>
      </c>
    </row>
    <row r="62">
      <c r="A62" s="11" t="inlineStr">
        <is>
          <t>騎士出力 W（≥ 1/3）</t>
        </is>
      </c>
      <c r="B62" s="12">
        <f>B61*$B$49</f>
        <v>79.59018833333333</v>
      </c>
      <c r="C62" s="12">
        <f>C61*$B$49</f>
        <v>79.59018833333333</v>
      </c>
      <c r="D62" s="12">
        <f>D61*$B$49</f>
        <v>79.59018833333333</v>
      </c>
    </row>
    <row r="63">
      <c r="A63" s="11" t="inlineStr">
        <is>
          <t>輪周長 m</t>
        </is>
      </c>
      <c r="B63" s="19">
        <f>2*PI()*$B$46</f>
        <v>2.0734511513692637</v>
      </c>
      <c r="C63" s="19">
        <f>2*PI()*$B$46</f>
        <v>2.0734511513692637</v>
      </c>
      <c r="D63" s="19">
        <f>2*PI()*$B$47</f>
        <v>1.595929068023615</v>
      </c>
    </row>
    <row r="64">
      <c r="A64" s="11" t="inlineStr">
        <is>
          <t>齒比</t>
        </is>
      </c>
      <c r="B64" s="19">
        <f>44/16</f>
        <v>2.75</v>
      </c>
      <c r="C64" s="19">
        <f>38/18</f>
        <v>2.111111111111111</v>
      </c>
      <c r="D64" s="19">
        <f>42/18</f>
        <v>2.3333333333333335</v>
      </c>
    </row>
    <row r="65">
      <c r="A65" s="11" t="inlineStr">
        <is>
          <t>8 km/h 踏頻 rpm</t>
        </is>
      </c>
      <c r="B65" s="15">
        <f>$B$48*1000/60/B63/B64</f>
        <v>23.383646367955237</v>
      </c>
      <c r="C65" s="15">
        <f>$B$48*1000/60/C63/C64</f>
        <v>30.460276189836424</v>
      </c>
      <c r="D65" s="15">
        <f>$B$48*1000/60/D63/D64</f>
        <v>35.805386522361154</v>
      </c>
    </row>
    <row r="66">
      <c r="A66" s="16" t="inlineStr">
        <is>
          <t>騎士曲柄扭矩 N·m</t>
        </is>
      </c>
      <c r="B66" s="23">
        <f>B62/(B65*2*PI()/60)</f>
        <v>32.502643160625006</v>
      </c>
      <c r="C66" s="23">
        <f>C62/(C65*2*PI()/60)</f>
        <v>24.9515240425</v>
      </c>
      <c r="D66" s="23">
        <f>D62/(D65*2*PI()/60)</f>
        <v>21.2267032285</v>
      </c>
      <c r="E66" s="11" t="inlineStr">
        <is>
          <t>一般通勤者持續上限約 25–30 N·m；20 吋 42/18 落在可行區</t>
        </is>
      </c>
    </row>
    <row r="67">
      <c r="A67" s="11" t="inlineStr">
        <is>
          <t>70 rpm 巡航速度 km/h</t>
        </is>
      </c>
      <c r="B67" s="15">
        <f>70*B64*B63*60/1000</f>
        <v>23.948360798314997</v>
      </c>
      <c r="C67" s="15">
        <f>70*C64*C63*60/1000</f>
        <v>18.384600208807466</v>
      </c>
      <c r="D67" s="15">
        <f>70*D64*D63*60/1000</f>
        <v>15.640104866631425</v>
      </c>
      <c r="E67" s="11" t="inlineStr">
        <is>
          <t>日本媽媽車巡航 15–18 km/h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</cols>
  <sheetData>
    <row r="1">
      <c r="A1" s="1" t="inlineStr">
        <is>
          <t>五年財務計畫（達方視角，NT$ 百萬）</t>
        </is>
      </c>
    </row>
    <row r="2">
      <c r="A2" s="2" t="inlineStr">
        <is>
          <t>硬體以出廠價加達方毛利賣給通路；電池訂閱由達方（或 SPV）持有資產並收月費。藍字為量與比率假設。</t>
        </is>
      </c>
    </row>
    <row r="4">
      <c r="A4" s="3" t="inlineStr">
        <is>
          <t>A. 量與組合假設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項目</t>
        </is>
      </c>
      <c r="B5" s="5" t="inlineStr">
        <is>
          <t>2027</t>
        </is>
      </c>
      <c r="C5" s="5" t="inlineStr">
        <is>
          <t>2028</t>
        </is>
      </c>
      <c r="D5" s="5" t="inlineStr">
        <is>
          <t>2029</t>
        </is>
      </c>
      <c r="E5" s="5" t="inlineStr">
        <is>
          <t>2030</t>
        </is>
      </c>
      <c r="F5" s="5" t="inlineStr">
        <is>
          <t>2031</t>
        </is>
      </c>
      <c r="G5" s="5" t="inlineStr">
        <is>
          <t>說明</t>
        </is>
      </c>
    </row>
    <row r="6">
      <c r="A6" s="11" t="inlineStr">
        <is>
          <t>整車出貨量（台）</t>
        </is>
      </c>
      <c r="B6" s="7" t="n">
        <v>8000</v>
      </c>
      <c r="C6" s="7" t="n">
        <v>25000</v>
      </c>
      <c r="D6" s="7" t="n">
        <v>50000</v>
      </c>
      <c r="E6" s="7" t="n">
        <v>80000</v>
      </c>
      <c r="F6" s="7" t="n">
        <v>110000</v>
      </c>
      <c r="G6" s="11" t="inlineStr">
        <is>
          <t>保守：原提案 Y5 45 萬台被盡調否決；30k 為出廠價達標門檻</t>
        </is>
      </c>
    </row>
    <row r="7">
      <c r="A7" s="11" t="inlineStr">
        <is>
          <t>歐洲平地版占比</t>
        </is>
      </c>
      <c r="B7" s="8" t="n">
        <v>0.5</v>
      </c>
      <c r="C7" s="8" t="n">
        <v>0.5</v>
      </c>
      <c r="D7" s="8" t="n">
        <v>0.5</v>
      </c>
      <c r="E7" s="8" t="n">
        <v>0.5</v>
      </c>
      <c r="F7" s="8" t="n">
        <v>0.5</v>
      </c>
      <c r="G7" s="11" t="inlineStr"/>
    </row>
    <row r="8">
      <c r="A8" s="11" t="inlineStr">
        <is>
          <t>日本平地版占比</t>
        </is>
      </c>
      <c r="B8" s="8" t="n">
        <v>0.18</v>
      </c>
      <c r="C8" s="8" t="n">
        <v>0.18</v>
      </c>
      <c r="D8" s="8" t="n">
        <v>0.18</v>
      </c>
      <c r="E8" s="8" t="n">
        <v>0.18</v>
      </c>
      <c r="F8" s="8" t="n">
        <v>0.18</v>
      </c>
      <c r="G8" s="11" t="inlineStr"/>
    </row>
    <row r="9">
      <c r="A9" s="11" t="inlineStr">
        <is>
          <t>日本載童版占比</t>
        </is>
      </c>
      <c r="B9" s="8" t="n">
        <v>0.12</v>
      </c>
      <c r="C9" s="8" t="n">
        <v>0.12</v>
      </c>
      <c r="D9" s="8" t="n">
        <v>0.12</v>
      </c>
      <c r="E9" s="8" t="n">
        <v>0.12</v>
      </c>
      <c r="F9" s="8" t="n">
        <v>0.12</v>
      </c>
      <c r="G9" s="11" t="inlineStr"/>
    </row>
    <row r="10">
      <c r="A10" s="11" t="inlineStr">
        <is>
          <t>台灣／其他平地版占比</t>
        </is>
      </c>
      <c r="B10" s="8" t="n">
        <v>0.2</v>
      </c>
      <c r="C10" s="8" t="n">
        <v>0.2</v>
      </c>
      <c r="D10" s="8" t="n">
        <v>0.2</v>
      </c>
      <c r="E10" s="8" t="n">
        <v>0.2</v>
      </c>
      <c r="F10" s="8" t="n">
        <v>0.2</v>
      </c>
      <c r="G10" s="11" t="inlineStr"/>
    </row>
    <row r="11">
      <c r="A11" s="11" t="inlineStr">
        <is>
          <t>電池訂閱附加率（未買斷比例）</t>
        </is>
      </c>
      <c r="B11" s="8" t="n">
        <v>0.85</v>
      </c>
      <c r="C11" s="8" t="n">
        <v>0.85</v>
      </c>
      <c r="D11" s="8" t="n">
        <v>0.85</v>
      </c>
      <c r="E11" s="8" t="n">
        <v>0.85</v>
      </c>
      <c r="F11" s="8" t="n">
        <v>0.85</v>
      </c>
      <c r="G11" s="11" t="inlineStr">
        <is>
          <t>提供買斷選項；假設 15% 買斷</t>
        </is>
      </c>
    </row>
    <row r="12">
      <c r="A12" s="11" t="inlineStr">
        <is>
          <t>訂戶年留存率</t>
        </is>
      </c>
      <c r="B12" s="8" t="n">
        <v>0.8</v>
      </c>
      <c r="C12" s="8" t="n">
        <v>0.8</v>
      </c>
      <c r="D12" s="8" t="n">
        <v>0.8</v>
      </c>
      <c r="E12" s="8" t="n">
        <v>0.8</v>
      </c>
      <c r="F12" s="8" t="n">
        <v>0.8</v>
      </c>
      <c r="G12" s="11" t="inlineStr">
        <is>
          <t>平均壽命 36 月 ≈ 年留存 75–80%</t>
        </is>
      </c>
    </row>
    <row r="13">
      <c r="A13" s="11" t="inlineStr">
        <is>
          <t>達方硬體毛利率（對出廠價加成）</t>
        </is>
      </c>
      <c r="B13" s="8" t="n">
        <v>0.2</v>
      </c>
      <c r="C13" s="8" t="n">
        <v>0.2</v>
      </c>
      <c r="D13" s="8" t="n">
        <v>0.2</v>
      </c>
      <c r="E13" s="8" t="n">
        <v>0.2</v>
      </c>
      <c r="F13" s="8" t="n">
        <v>0.2</v>
      </c>
      <c r="G13" s="11" t="inlineStr">
        <is>
          <t>品牌／整合／保固；8/28 門檻 ≥ 15%</t>
        </is>
      </c>
    </row>
    <row r="15">
      <c r="A15" s="3" t="inlineStr">
        <is>
          <t>B. 單價（NT$／台或／戶，連動模型）</t>
        </is>
      </c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項目</t>
        </is>
      </c>
      <c r="B16" s="5" t="inlineStr">
        <is>
          <t>歐洲平地</t>
        </is>
      </c>
      <c r="C16" s="5" t="inlineStr">
        <is>
          <t>日本平地</t>
        </is>
      </c>
      <c r="D16" s="5" t="inlineStr">
        <is>
          <t>日本載童</t>
        </is>
      </c>
      <c r="E16" s="5" t="inlineStr">
        <is>
          <t>台灣平地</t>
        </is>
      </c>
      <c r="F16" s="5" t="inlineStr">
        <is>
          <t>加權</t>
        </is>
      </c>
      <c r="G16" s="5" t="inlineStr">
        <is>
          <t>說明</t>
        </is>
      </c>
    </row>
    <row r="17">
      <c r="A17" s="11" t="inlineStr">
        <is>
          <t>出廠價（NT$）</t>
        </is>
      </c>
      <c r="B17" s="26">
        <f>三變體!B28</f>
        <v>4285.426022988506</v>
      </c>
      <c r="C17" s="26">
        <f>三變體!C28</f>
        <v>5158.462804597702</v>
      </c>
      <c r="D17" s="26">
        <f>三變體!D28</f>
        <v>6316.945563218391</v>
      </c>
      <c r="E17" s="26">
        <f>三變體!B28</f>
        <v>4285.426022988506</v>
      </c>
      <c r="F17" s="24">
        <f>B17*$B$7+C17*$B$8+D17*$B$9+E17*$B$10</f>
        <v>4686.354988505747</v>
      </c>
      <c r="G17" s="11" t="inlineStr">
        <is>
          <t>三變體表；加權以 2027 組合計</t>
        </is>
      </c>
    </row>
    <row r="18">
      <c r="A18" s="11" t="inlineStr">
        <is>
          <t>電池月費（NT$，含稅）</t>
        </is>
      </c>
      <c r="B18" s="26">
        <f>電池訂閱費!C19*假設!$B$19*假設!$B$20</f>
        <v>485.4168000000001</v>
      </c>
      <c r="C18" s="26">
        <f>電池訂閱費!C61/假設!$B$21*假設!$B$20</f>
        <v>247.28510638297874</v>
      </c>
      <c r="D18" s="26">
        <f>電池訂閱費!D61/假設!$B$21*假設!$B$20</f>
        <v>324.56170212765954</v>
      </c>
      <c r="E18" s="26">
        <f>電池訂閱費!C40</f>
        <v>299.0</v>
      </c>
      <c r="F18" s="24">
        <f>B18*$B$7+C18*$B$8+D18*$B$9+E18*$B$10</f>
        <v>385.9671234042554</v>
      </c>
      <c r="G18" s="11" t="inlineStr">
        <is>
          <t>€9.9／¥1,280／¥1,680／NT$299</t>
        </is>
      </c>
    </row>
    <row r="19">
      <c r="A19" s="11" t="inlineStr">
        <is>
          <t>月費淨額係數（除 VAT／消費稅）</t>
        </is>
      </c>
      <c r="B19" s="19">
        <f>1/(1+假設!$B$46)</f>
        <v>0.8403361344537815</v>
      </c>
      <c r="C19" s="19">
        <f>1/(1+假設!$B$41)</f>
        <v>0.9090909090909091</v>
      </c>
      <c r="D19" s="19">
        <f>1/(1+假設!$B$41)</f>
        <v>0.9090909090909091</v>
      </c>
      <c r="E19" s="19">
        <f>1/(1+假設!$B$31)</f>
        <v>0.9523809523809523</v>
      </c>
      <c r="F19" s="19">
        <f>B19*$B$7+C19*$B$8+D19*$B$9+E19*$B$10</f>
        <v>0.883371530430354</v>
      </c>
    </row>
    <row r="20">
      <c r="A20" s="11" t="inlineStr">
        <is>
          <t>每戶每月現金成本（NT$，③④⑤⑥ + 呆帳金流）</t>
        </is>
      </c>
      <c r="B20" s="12">
        <f>(電池訂閱費!C12+電池訂閱費!C13+電池訂閱費!C19/(1+假設!$B$46)*(假設!$B$47+假設!$B$48))*假設!$B$19*假設!$B$20</f>
        <v>186.4749060714286</v>
      </c>
      <c r="C20" s="12">
        <f>(電池訂閱費!C54+電池訂閱費!C55+電池訂閱費!C61/(1+假設!$B$41)*(假設!$B$75+假設!$B$76))/假設!$B$21*假設!$B$20</f>
        <v>103.66370200123791</v>
      </c>
      <c r="D20" s="12">
        <f>(電池訂閱費!D54+電池訂閱費!D55+電池訂閱費!D61/(1+假設!$B$41)*(假設!$B$75+假設!$B$76))/假設!$B$21*假設!$B$20</f>
        <v>120.33410397524177</v>
      </c>
      <c r="E20" s="12">
        <f>電池訂閱費!C33+電池訂閱費!C34+電池訂閱費!C40/(1+假設!$B$31)*(假設!$B$61+假設!$B$62)</f>
        <v>110.22742261904762</v>
      </c>
      <c r="F20" s="24">
        <f>B20*$B$7+C20*$B$8+D20*$B$9+E20*$B$10</f>
        <v>148.38249639677565</v>
      </c>
      <c r="G20" s="11" t="inlineStr">
        <is>
          <t>更換準備 + 失竊／客服／物流 + 呆帳金流；資產與 CAC 另列</t>
        </is>
      </c>
    </row>
    <row r="21">
      <c r="A21" s="11" t="inlineStr">
        <is>
          <t>每戶電池 + 充電器資產（NT$）</t>
        </is>
      </c>
      <c r="B21" s="26">
        <f>電池訂閱費!C9*假設!$B$19*假設!$B$20</f>
        <v>2007.0341199999998</v>
      </c>
      <c r="C21" s="26">
        <f>電池訂閱費!C51/假設!$B$21*假設!$B$20</f>
        <v>1658.1907869685108</v>
      </c>
      <c r="D21" s="26">
        <f>電池訂閱費!D51/假設!$B$21*假設!$B$20</f>
        <v>2239.1855556085106</v>
      </c>
      <c r="E21" s="26">
        <f>電池訂閱費!C30</f>
        <v>1808.4019999999998</v>
      </c>
      <c r="F21" s="24">
        <f>B21*$B$7+C21*$B$8+D21*$B$9+E21*$B$10</f>
        <v>1932.3740683273531</v>
      </c>
      <c r="G21" s="11" t="inlineStr">
        <is>
          <t>資本支出；4 年折舊</t>
        </is>
      </c>
    </row>
    <row r="22">
      <c r="A22" s="11" t="inlineStr">
        <is>
          <t>每戶 CAC（NT$）</t>
        </is>
      </c>
      <c r="B22" s="26">
        <f>假設!$B$55*假設!$B$19*假設!$B$20</f>
        <v>1470.96</v>
      </c>
      <c r="C22" s="26">
        <f>假設!$B$83/假設!$B$21*假設!$B$20</f>
        <v>579.5744680851064</v>
      </c>
      <c r="D22" s="26">
        <f>假設!$B$83/假設!$B$21*假設!$B$20</f>
        <v>579.5744680851064</v>
      </c>
      <c r="E22" s="26">
        <f>假設!$B$69</f>
        <v>800.0</v>
      </c>
      <c r="F22" s="24">
        <f>B22*$B$7+C22*$B$8+D22*$B$9+E22*$B$10</f>
        <v>1069.352340425532</v>
      </c>
      <c r="G22" s="11" t="inlineStr">
        <is>
          <t>隨車成交</t>
        </is>
      </c>
    </row>
    <row r="24">
      <c r="A24" s="3" t="inlineStr">
        <is>
          <t>C. 營運費用假設（NT$ 百萬／年）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項目</t>
        </is>
      </c>
      <c r="B25" s="5" t="inlineStr">
        <is>
          <t>2027</t>
        </is>
      </c>
      <c r="C25" s="5" t="inlineStr">
        <is>
          <t>2028</t>
        </is>
      </c>
      <c r="D25" s="5" t="inlineStr">
        <is>
          <t>2029</t>
        </is>
      </c>
      <c r="E25" s="5" t="inlineStr">
        <is>
          <t>2030</t>
        </is>
      </c>
      <c r="F25" s="5" t="inlineStr">
        <is>
          <t>2031</t>
        </is>
      </c>
      <c r="G25" s="5" t="inlineStr">
        <is>
          <t>說明</t>
        </is>
      </c>
    </row>
    <row r="26">
      <c r="A26" s="6" t="inlineStr">
        <is>
          <t>三電 RD（韌體、控制器、電池包）</t>
        </is>
      </c>
      <c r="B26" s="10" t="n">
        <v>5</v>
      </c>
      <c r="C26" s="10" t="n">
        <v>5</v>
      </c>
      <c r="D26" s="10" t="n">
        <v>8</v>
      </c>
      <c r="E26" s="10" t="n">
        <v>8</v>
      </c>
      <c r="F26" s="10" t="n">
        <v>8</v>
      </c>
      <c r="G26" s="6" t="inlineStr">
        <is>
          <t>8/28：RD NT$3–5M 上限起步</t>
        </is>
      </c>
    </row>
    <row r="27">
      <c r="A27" s="6" t="inlineStr">
        <is>
          <t>APP／雲端／資料團隊</t>
        </is>
      </c>
      <c r="B27" s="10" t="n">
        <v>6</v>
      </c>
      <c r="C27" s="10" t="n">
        <v>8</v>
      </c>
      <c r="D27" s="10" t="n">
        <v>8</v>
      </c>
      <c r="E27" s="10" t="n">
        <v>10</v>
      </c>
      <c r="F27" s="10" t="n">
        <v>10</v>
      </c>
      <c r="G27" s="6" t="inlineStr">
        <is>
          <t>BOM 報告：完整 IoT 平台 NT$12M；本案 BLE + SoH 較輕</t>
        </is>
      </c>
    </row>
    <row r="28">
      <c r="A28" s="6" t="inlineStr">
        <is>
          <t>認證與模具（EN 15194／UN38.3／日本型式認定 ×3／PSE）</t>
        </is>
      </c>
      <c r="B28" s="10" t="n">
        <v>4</v>
      </c>
      <c r="C28" s="10" t="n">
        <v>4</v>
      </c>
      <c r="D28" s="10" t="n">
        <v>3</v>
      </c>
      <c r="E28" s="10" t="n">
        <v>1</v>
      </c>
      <c r="F28" s="10" t="n">
        <v>1</v>
      </c>
      <c r="G28" s="6" t="inlineStr">
        <is>
          <t>US$130k + ¥2–3M + 模具</t>
        </is>
      </c>
    </row>
    <row r="29">
      <c r="A29" s="6" t="inlineStr">
        <is>
          <t>翻新中心與逆物流建置（歐、日各一）</t>
        </is>
      </c>
      <c r="B29" s="10" t="n">
        <v>3</v>
      </c>
      <c r="C29" s="10" t="n">
        <v>10</v>
      </c>
      <c r="D29" s="10" t="n">
        <v>5</v>
      </c>
      <c r="E29" s="10" t="n">
        <v>3</v>
      </c>
      <c r="F29" s="10" t="n">
        <v>3</v>
      </c>
      <c r="G29" s="6" t="inlineStr">
        <is>
          <t>含治具、危險品倉儲</t>
        </is>
      </c>
    </row>
    <row r="30">
      <c r="A30" s="6" t="inlineStr">
        <is>
          <t>行銷與通路（佔硬體營收）</t>
        </is>
      </c>
      <c r="B30" s="8" t="n">
        <v>0.08</v>
      </c>
      <c r="C30" s="8" t="n">
        <v>0.06</v>
      </c>
      <c r="D30" s="8" t="n">
        <v>0.05</v>
      </c>
      <c r="E30" s="8" t="n">
        <v>0.05</v>
      </c>
      <c r="F30" s="8" t="n">
        <v>0.05</v>
      </c>
      <c r="G30" s="6" t="inlineStr">
        <is>
          <t>比率；DTC 與 B2B2C 混合</t>
        </is>
      </c>
    </row>
    <row r="31">
      <c r="A31" s="6" t="inlineStr">
        <is>
          <t>管理與其他（佔總營收）</t>
        </is>
      </c>
      <c r="B31" s="8" t="n">
        <v>0.04</v>
      </c>
      <c r="C31" s="8" t="n">
        <v>0.03</v>
      </c>
      <c r="D31" s="8" t="n">
        <v>0.03</v>
      </c>
      <c r="E31" s="8" t="n">
        <v>0.03</v>
      </c>
      <c r="F31" s="8" t="n">
        <v>0.03</v>
      </c>
      <c r="G31" s="6" t="inlineStr">
        <is>
          <t>比率</t>
        </is>
      </c>
    </row>
    <row r="33">
      <c r="A33" s="3" t="inlineStr">
        <is>
          <t>D. 損益與現金流（NT$ 百萬）</t>
        </is>
      </c>
      <c r="B33" s="4" t="n"/>
      <c r="C33" s="4" t="n"/>
      <c r="D33" s="4" t="n"/>
      <c r="E33" s="4" t="n"/>
      <c r="F33" s="4" t="n"/>
      <c r="G33" s="4" t="n"/>
    </row>
    <row r="34">
      <c r="A34" s="5" t="inlineStr">
        <is>
          <t>項目</t>
        </is>
      </c>
      <c r="B34" s="5" t="inlineStr">
        <is>
          <t>2027</t>
        </is>
      </c>
      <c r="C34" s="5" t="inlineStr">
        <is>
          <t>2028</t>
        </is>
      </c>
      <c r="D34" s="5" t="inlineStr">
        <is>
          <t>2029</t>
        </is>
      </c>
      <c r="E34" s="5" t="inlineStr">
        <is>
          <t>2030</t>
        </is>
      </c>
      <c r="F34" s="5" t="inlineStr">
        <is>
          <t>2031</t>
        </is>
      </c>
      <c r="G34" s="5" t="inlineStr">
        <is>
          <t>公式</t>
        </is>
      </c>
    </row>
    <row r="35">
      <c r="A35" s="11" t="inlineStr">
        <is>
          <t>新增訂戶（戶）</t>
        </is>
      </c>
      <c r="B35" s="12">
        <f>B6*B11</f>
        <v>6800.0</v>
      </c>
      <c r="C35" s="12">
        <f>C6*C11</f>
        <v>21250.0</v>
      </c>
      <c r="D35" s="12">
        <f>D6*D11</f>
        <v>42500.0</v>
      </c>
      <c r="E35" s="12">
        <f>E6*E11</f>
        <v>68000.0</v>
      </c>
      <c r="F35" s="12">
        <f>F6*F11</f>
        <v>93500.0</v>
      </c>
      <c r="G35" s="6" t="inlineStr">
        <is>
          <t>出貨 × 附加率</t>
        </is>
      </c>
    </row>
    <row r="36">
      <c r="A36" s="16" t="inlineStr">
        <is>
          <t>期末在訂戶（戶）</t>
        </is>
      </c>
      <c r="B36" s="24">
        <f>B35</f>
        <v>6800.0</v>
      </c>
      <c r="C36" s="24">
        <f>B36*C12+C35</f>
        <v>26690.0</v>
      </c>
      <c r="D36" s="24">
        <f>C36*D12+D35</f>
        <v>63852.0</v>
      </c>
      <c r="E36" s="24">
        <f>D36*E12+E35</f>
        <v>119081.6</v>
      </c>
      <c r="F36" s="24">
        <f>E36*F12+F35</f>
        <v>188765.28000000003</v>
      </c>
      <c r="G36" s="6" t="inlineStr">
        <is>
          <t>上期 × 留存 + 新增</t>
        </is>
      </c>
    </row>
    <row r="37">
      <c r="A37" s="11" t="inlineStr">
        <is>
          <t>平均在訂戶（戶）</t>
        </is>
      </c>
      <c r="B37" s="12">
        <f>B36/2</f>
        <v>3400.0</v>
      </c>
      <c r="C37" s="12">
        <f>(B36+C36)/2</f>
        <v>16745.0</v>
      </c>
      <c r="D37" s="12">
        <f>(C36+D36)/2</f>
        <v>45271.0</v>
      </c>
      <c r="E37" s="12">
        <f>(D36+E36)/2</f>
        <v>91466.8</v>
      </c>
      <c r="F37" s="12">
        <f>(E36+F36)/2</f>
        <v>153923.44</v>
      </c>
      <c r="G37" s="6" t="inlineStr"/>
    </row>
    <row r="38">
      <c r="A38" s="16" t="inlineStr">
        <is>
          <t>硬體營收</t>
        </is>
      </c>
      <c r="B38" s="18">
        <f>B6*$F$17*(1+B13)/1000000</f>
        <v>44.98900788965517</v>
      </c>
      <c r="C38" s="18">
        <f>C6*$F$17*(1+C13)/1000000</f>
        <v>140.5906496551724</v>
      </c>
      <c r="D38" s="18">
        <f>D6*$F$17*(1+D13)/1000000</f>
        <v>281.1812993103448</v>
      </c>
      <c r="E38" s="18">
        <f>E6*$F$17*(1+E13)/1000000</f>
        <v>449.89007889655176</v>
      </c>
      <c r="F38" s="18">
        <f>F6*$F$17*(1+F13)/1000000</f>
        <v>618.5988584827586</v>
      </c>
      <c r="G38" s="6" t="inlineStr">
        <is>
          <t>出貨 × 出廠價 × (1 + 達方毛利)</t>
        </is>
      </c>
    </row>
    <row r="39">
      <c r="A39" s="11" t="inlineStr">
        <is>
          <t>硬體成本</t>
        </is>
      </c>
      <c r="B39" s="15">
        <f>B6*$F$17/1000000</f>
        <v>37.49083990804598</v>
      </c>
      <c r="C39" s="15">
        <f>C6*$F$17/1000000</f>
        <v>117.15887471264368</v>
      </c>
      <c r="D39" s="15">
        <f>D6*$F$17/1000000</f>
        <v>234.31774942528736</v>
      </c>
      <c r="E39" s="15">
        <f>E6*$F$17/1000000</f>
        <v>374.9083990804598</v>
      </c>
      <c r="F39" s="15">
        <f>F6*$F$17/1000000</f>
        <v>515.4990487356322</v>
      </c>
      <c r="G39" s="6" t="inlineStr">
        <is>
          <t>以出廠價採購</t>
        </is>
      </c>
    </row>
    <row r="40">
      <c r="A40" s="16" t="inlineStr">
        <is>
          <t>訂閱營收（淨額）</t>
        </is>
      </c>
      <c r="B40" s="18">
        <f>B37*$F$18*$F$19*12/1000000</f>
        <v>13.91085663469467</v>
      </c>
      <c r="C40" s="18">
        <f>C37*$F$18*$F$19*12/1000000</f>
        <v>68.51096892587125</v>
      </c>
      <c r="D40" s="18">
        <f>D37*$F$18*$F$19*12/1000000</f>
        <v>185.22305609095955</v>
      </c>
      <c r="E40" s="18">
        <f>E37*$F$18*$F$19*12/1000000</f>
        <v>374.229865186556</v>
      </c>
      <c r="F40" s="18">
        <f>F37*$F$18*$F$19*12/1000000</f>
        <v>629.7667372232432</v>
      </c>
      <c r="G40" s="6" t="inlineStr">
        <is>
          <t>平均戶 × 月費淨額 × 12</t>
        </is>
      </c>
    </row>
    <row r="41">
      <c r="A41" s="11" t="inlineStr">
        <is>
          <t>訂閱現金成本</t>
        </is>
      </c>
      <c r="B41" s="15">
        <f>B37*$F$20*12/1000000</f>
        <v>6.054005852988446</v>
      </c>
      <c r="C41" s="15">
        <f>C37*$F$20*12/1000000</f>
        <v>29.815978825968102</v>
      </c>
      <c r="D41" s="15">
        <f>D37*$F$20*12/1000000</f>
        <v>80.60908793254116</v>
      </c>
      <c r="E41" s="15">
        <f>E37*$F$20*12/1000000</f>
        <v>162.86486545709516</v>
      </c>
      <c r="F41" s="15">
        <f>F37*$F$20*12/1000000</f>
        <v>274.0745313741518</v>
      </c>
      <c r="G41" s="6" t="inlineStr"/>
    </row>
    <row r="42">
      <c r="A42" s="11" t="inlineStr">
        <is>
          <t>訂閱 CAC</t>
        </is>
      </c>
      <c r="B42" s="15">
        <f>B35*$F$22/1000000</f>
        <v>7.271595914893618</v>
      </c>
      <c r="C42" s="15">
        <f>C35*$F$22/1000000</f>
        <v>22.723737234042556</v>
      </c>
      <c r="D42" s="15">
        <f>D35*$F$22/1000000</f>
        <v>45.44747446808511</v>
      </c>
      <c r="E42" s="15">
        <f>E35*$F$22/1000000</f>
        <v>72.71595914893618</v>
      </c>
      <c r="F42" s="15">
        <f>F35*$F$22/1000000</f>
        <v>99.98444382978724</v>
      </c>
      <c r="G42" s="6" t="inlineStr"/>
    </row>
    <row r="43">
      <c r="A43" s="11" t="inlineStr">
        <is>
          <t>電池資產折舊（4 年）</t>
        </is>
      </c>
      <c r="B43" s="15">
        <f>B35*$F$21/4/1000000</f>
        <v>3.2850359161565</v>
      </c>
      <c r="C43" s="15">
        <f>B35*$F$21/4/1000000+C35*$F$21/4/1000000</f>
        <v>13.550773154145565</v>
      </c>
      <c r="D43" s="15">
        <f>B35*$F$21/4/1000000+C35*$F$21/4/1000000+D35*$F$21/4/1000000</f>
        <v>34.082247630123696</v>
      </c>
      <c r="E43" s="15">
        <f>B35*$F$21/4/1000000+C35*$F$21/4/1000000+D35*$F$21/4/1000000+E35*$F$21/4/1000000</f>
        <v>66.9326067916887</v>
      </c>
      <c r="F43" s="15">
        <f>C35*$F$21/4/1000000+D35*$F$21/4/1000000+E35*$F$21/4/1000000+F35*$F$21/4/1000000</f>
        <v>108.81681472268409</v>
      </c>
      <c r="G43" s="6" t="inlineStr">
        <is>
          <t>新增訂戶資產 ÷ 4，攤 4 年</t>
        </is>
      </c>
    </row>
    <row r="44">
      <c r="A44" s="16" t="inlineStr">
        <is>
          <t>總營收</t>
        </is>
      </c>
      <c r="B44" s="23">
        <f>B38+B40</f>
        <v>58.89986452434984</v>
      </c>
      <c r="C44" s="23">
        <f>C38+C40</f>
        <v>209.10161858104365</v>
      </c>
      <c r="D44" s="23">
        <f>D38+D40</f>
        <v>466.4043554013043</v>
      </c>
      <c r="E44" s="23">
        <f>E38+E40</f>
        <v>824.1199440831078</v>
      </c>
      <c r="F44" s="23">
        <f>F38+F40</f>
        <v>1248.3655957060018</v>
      </c>
      <c r="G44" s="6" t="inlineStr"/>
    </row>
    <row r="45">
      <c r="A45" s="16" t="inlineStr">
        <is>
          <t>毛利（硬體 + 訂閱，含折舊）</t>
        </is>
      </c>
      <c r="B45" s="18">
        <f>B38-B39+B40-B41-B42-B43</f>
        <v>4.798386932265295</v>
      </c>
      <c r="C45" s="18">
        <f>C38-C39+C40-C41-C42-C43</f>
        <v>25.852254654243744</v>
      </c>
      <c r="D45" s="18">
        <f>D38-D39+D40-D41-D42-D43</f>
        <v>71.94779594526699</v>
      </c>
      <c r="E45" s="18">
        <f>E38-E39+E40-E41-E42-E43</f>
        <v>146.69811360492795</v>
      </c>
      <c r="F45" s="18">
        <f>F38-F39+F40-F41-F42-F43</f>
        <v>249.99075704374658</v>
      </c>
      <c r="G45" s="6" t="inlineStr"/>
    </row>
    <row r="46">
      <c r="A46" s="11" t="inlineStr">
        <is>
          <t>毛利率</t>
        </is>
      </c>
      <c r="B46" s="17">
        <f>IF(B44&gt;0,B45/B44,0)</f>
        <v>0.08146685855757088</v>
      </c>
      <c r="C46" s="17">
        <f>IF(C44&gt;0,C45/C44,0)</f>
        <v>0.12363488541923419</v>
      </c>
      <c r="D46" s="17">
        <f>IF(D44&gt;0,D45/D44,0)</f>
        <v>0.15426055763000232</v>
      </c>
      <c r="E46" s="17">
        <f>IF(E44&gt;0,E45/E44,0)</f>
        <v>0.1780057801757729</v>
      </c>
      <c r="F46" s="17">
        <f>IF(F44&gt;0,F45/F44,0)</f>
        <v>0.2002544430122384</v>
      </c>
      <c r="G46" s="6" t="inlineStr"/>
    </row>
    <row r="47">
      <c r="A47" s="11" t="inlineStr">
        <is>
          <t>RD + APP + 認證 + 翻新建置</t>
        </is>
      </c>
      <c r="B47" s="15">
        <f>B26+B27+B28+B29</f>
        <v>18.0</v>
      </c>
      <c r="C47" s="15">
        <f>C26+C27+C28+C29</f>
        <v>27.0</v>
      </c>
      <c r="D47" s="15">
        <f>D26+D27+D28+D29</f>
        <v>24.0</v>
      </c>
      <c r="E47" s="15">
        <f>E26+E27+E28+E29</f>
        <v>22.0</v>
      </c>
      <c r="F47" s="15">
        <f>F26+F27+F28+F29</f>
        <v>22.0</v>
      </c>
      <c r="G47" s="6" t="inlineStr"/>
    </row>
    <row r="48">
      <c r="A48" s="11" t="inlineStr">
        <is>
          <t>行銷與通路</t>
        </is>
      </c>
      <c r="B48" s="15">
        <f>B38*B30</f>
        <v>3.5991206311724135</v>
      </c>
      <c r="C48" s="15">
        <f>C38*C30</f>
        <v>8.435438979310344</v>
      </c>
      <c r="D48" s="15">
        <f>D38*D30</f>
        <v>14.05906496551724</v>
      </c>
      <c r="E48" s="15">
        <f>E38*E30</f>
        <v>22.49450394482759</v>
      </c>
      <c r="F48" s="15">
        <f>F38*F30</f>
        <v>30.929942924137933</v>
      </c>
      <c r="G48" s="6" t="inlineStr"/>
    </row>
    <row r="49">
      <c r="A49" s="11" t="inlineStr">
        <is>
          <t>管理與其他</t>
        </is>
      </c>
      <c r="B49" s="15">
        <f>B44*B31</f>
        <v>2.3559945809739937</v>
      </c>
      <c r="C49" s="15">
        <f>C44*C31</f>
        <v>6.273048557431309</v>
      </c>
      <c r="D49" s="15">
        <f>D44*D31</f>
        <v>13.992130662039129</v>
      </c>
      <c r="E49" s="15">
        <f>E44*E31</f>
        <v>24.723598322493235</v>
      </c>
      <c r="F49" s="15">
        <f>F44*F31</f>
        <v>37.450967871180055</v>
      </c>
      <c r="G49" s="6" t="inlineStr"/>
    </row>
    <row r="50">
      <c r="A50" s="16" t="inlineStr">
        <is>
          <t>EBIT</t>
        </is>
      </c>
      <c r="B50" s="23">
        <f>B45-B47-B48-B49</f>
        <v>-19.156728279881115</v>
      </c>
      <c r="C50" s="23">
        <f>C45-C47-C48-C49</f>
        <v>-15.85623288249791</v>
      </c>
      <c r="D50" s="23">
        <f>D45-D47-D48-D49</f>
        <v>19.89660031771062</v>
      </c>
      <c r="E50" s="23">
        <f>E45-E47-E48-E49</f>
        <v>77.48001133760714</v>
      </c>
      <c r="F50" s="23">
        <f>F45-F47-F48-F49</f>
        <v>159.6098462484286</v>
      </c>
      <c r="G50" s="6" t="inlineStr"/>
    </row>
    <row r="51">
      <c r="A51" s="11" t="inlineStr">
        <is>
          <t>EBIT 率</t>
        </is>
      </c>
      <c r="B51" s="17">
        <f>IF(B44&gt;0,B50/B44,0)</f>
        <v>-0.3252423148097653</v>
      </c>
      <c r="C51" s="17">
        <f>IF(C44&gt;0,C50/C44,0)</f>
        <v>-0.07583027329055489</v>
      </c>
      <c r="D51" s="17">
        <f>IF(D44&gt;0,D50/D44,0)</f>
        <v>0.04265955085387477</v>
      </c>
      <c r="E51" s="17">
        <f>IF(E44&gt;0,E50/E44,0)</f>
        <v>0.09401545478165702</v>
      </c>
      <c r="F51" s="17">
        <f>IF(F44&gt;0,F50/F44,0)</f>
        <v>0.12785505047354553</v>
      </c>
      <c r="G51" s="6" t="inlineStr"/>
    </row>
    <row r="52">
      <c r="A52" s="11" t="inlineStr">
        <is>
          <t>電池資本支出</t>
        </is>
      </c>
      <c r="B52" s="15">
        <f>B35*$F$21/1000000</f>
        <v>13.140143664626</v>
      </c>
      <c r="C52" s="15">
        <f>C35*$F$21/1000000</f>
        <v>41.06294895195626</v>
      </c>
      <c r="D52" s="15">
        <f>D35*$F$21/1000000</f>
        <v>82.12589790391252</v>
      </c>
      <c r="E52" s="15">
        <f>E35*$F$21/1000000</f>
        <v>131.40143664626</v>
      </c>
      <c r="F52" s="15">
        <f>F35*$F$21/1000000</f>
        <v>180.67697538860753</v>
      </c>
      <c r="G52" s="6" t="inlineStr">
        <is>
          <t>新增訂戶 × 每戶資產</t>
        </is>
      </c>
    </row>
    <row r="53">
      <c r="A53" s="16" t="inlineStr">
        <is>
          <t>營運現金流（EBIT + 折舊 − 電池資本支出）</t>
        </is>
      </c>
      <c r="B53" s="18">
        <f>B50+B43-B52</f>
        <v>-29.011836028350615</v>
      </c>
      <c r="C53" s="18">
        <f>C50+C43-C52</f>
        <v>-43.368408680308605</v>
      </c>
      <c r="D53" s="18">
        <f>D50+D43-D52</f>
        <v>-28.1470499560782</v>
      </c>
      <c r="E53" s="18">
        <f>E50+E43-E52</f>
        <v>13.011181483035813</v>
      </c>
      <c r="F53" s="18">
        <f>F50+F43-F52</f>
        <v>87.74968558250518</v>
      </c>
      <c r="G53" s="6" t="inlineStr"/>
    </row>
    <row r="54">
      <c r="A54" s="16" t="inlineStr">
        <is>
          <t>累計現金流</t>
        </is>
      </c>
      <c r="B54" s="23">
        <f>B53</f>
        <v>-29.011836028350615</v>
      </c>
      <c r="C54" s="23">
        <f>B54+C53</f>
        <v>-72.38024470865922</v>
      </c>
      <c r="D54" s="23">
        <f>C54+D53</f>
        <v>-100.52729466473741</v>
      </c>
      <c r="E54" s="23">
        <f>D54+E53</f>
        <v>-87.5161131817016</v>
      </c>
      <c r="F54" s="23">
        <f>E54+F53</f>
        <v>0.2335724008035811</v>
      </c>
      <c r="G54" s="6" t="inlineStr">
        <is>
          <t>最低點 = 資金需求峰值（未含營運資金）</t>
        </is>
      </c>
    </row>
    <row r="55">
      <c r="A55" s="11" t="inlineStr">
        <is>
          <t>電池車隊資產（毛額，期末）</t>
        </is>
      </c>
      <c r="B55" s="15">
        <f>B52</f>
        <v>13.140143664626</v>
      </c>
      <c r="C55" s="15">
        <f>B52+C52</f>
        <v>54.20309261658226</v>
      </c>
      <c r="D55" s="15">
        <f>B52+C52+D52</f>
        <v>136.32899052049478</v>
      </c>
      <c r="E55" s="15">
        <f>B52+C52+D52+E52</f>
        <v>267.7304271667548</v>
      </c>
      <c r="F55" s="15">
        <f>B52+C52+D52+E52+F52</f>
        <v>448.4074025553623</v>
      </c>
      <c r="G55" s="6" t="inlineStr">
        <is>
          <t>可由 SPV／租賃夥伴持有</t>
        </is>
      </c>
    </row>
    <row r="56">
      <c r="A56" s="16" t="inlineStr">
        <is>
          <t>資金需求峰值（累計現金流最低點）</t>
        </is>
      </c>
      <c r="B56" s="23">
        <f>-MIN(B54:F54)</f>
        <v>100.52729466473741</v>
      </c>
      <c r="G56" s="11" t="inlineStr">
        <is>
          <t>若電池資產由 SPV 持有，達方峰值 ≈ 此值 − 電池資本支出累計</t>
        </is>
      </c>
    </row>
    <row r="57">
      <c r="A57" s="16" t="inlineStr">
        <is>
          <t>若 SPV 持有電池：達方累計現金流最低點</t>
        </is>
      </c>
      <c r="B57" s="18">
        <f>MIN(B54+B55,C54+C55,D54+D55,E54+E55,F54+F55)</f>
        <v>-18.17715209207696</v>
      </c>
      <c r="G57" s="11" t="inlineStr">
        <is>
          <t>SPV 融資成本未計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兩條路五年對照與決策門檻：合規電池平台 + OEM 服務（C1） vs 低價整車 + 電池訂閱（B2C）</t>
        </is>
      </c>
    </row>
    <row r="2">
      <c r="A2" s="2" t="inlineStr">
        <is>
          <t>C1 參數取自 V4 分頁 11；B2C 連動五年財務分頁並以量級倍數做情境。NT$ 百萬除非另註。藍字可改。</t>
        </is>
      </c>
    </row>
    <row r="4">
      <c r="A4" s="3" t="inlineStr">
        <is>
          <t>A. C1 假設（V4 分頁 11）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參數</t>
        </is>
      </c>
      <c r="B5" s="5" t="inlineStr">
        <is>
          <t>值</t>
        </is>
      </c>
      <c r="C5" s="5" t="inlineStr"/>
      <c r="D5" s="5" t="inlineStr"/>
      <c r="E5" s="5" t="inlineStr"/>
      <c r="F5" s="5" t="inlineStr"/>
      <c r="G5" s="5" t="inlineStr">
        <is>
          <t>來源</t>
        </is>
      </c>
    </row>
    <row r="6">
      <c r="A6" s="11" t="inlineStr">
        <is>
          <t>三電成本 €/台</t>
        </is>
      </c>
      <c r="B6" s="10" t="n">
        <v>55</v>
      </c>
      <c r="G6" s="6" t="inlineStr">
        <is>
          <t>RMB 595 ÷ 10.8</t>
        </is>
      </c>
    </row>
    <row r="7">
      <c r="A7" s="11" t="inlineStr">
        <is>
          <t>賣 OEM 毛利率</t>
        </is>
      </c>
      <c r="B7" s="8" t="n">
        <v>0.25</v>
      </c>
      <c r="G7" s="6" t="inlineStr">
        <is>
          <t>Tier 1 常見 20–30%</t>
        </is>
      </c>
    </row>
    <row r="8">
      <c r="A8" s="11" t="inlineStr">
        <is>
          <t>服務合約 €/台/年</t>
        </is>
      </c>
      <c r="B8" s="7" t="n">
        <v>10</v>
      </c>
      <c r="G8" s="6" t="inlineStr">
        <is>
          <t>護照、EPR、備品、SoH、回收；無公開價格</t>
        </is>
      </c>
    </row>
    <row r="9">
      <c r="A9" s="11" t="inlineStr">
        <is>
          <t>服務成本 €/台/年</t>
        </is>
      </c>
      <c r="B9" s="10" t="n">
        <v>4.5</v>
      </c>
      <c r="G9" s="6" t="inlineStr">
        <is>
          <t>系統、行政、備品攤提</t>
        </is>
      </c>
    </row>
    <row r="10">
      <c r="A10" s="11" t="inlineStr">
        <is>
          <t>在保年數（服務收費期）</t>
        </is>
      </c>
      <c r="B10" s="7" t="n">
        <v>5</v>
      </c>
      <c r="G10" s="6" t="inlineStr">
        <is>
          <t>備品義務 5 年</t>
        </is>
      </c>
    </row>
    <row r="11">
      <c r="A11" s="11" t="inlineStr">
        <is>
          <t>EUR/NTD</t>
        </is>
      </c>
      <c r="B11" s="33">
        <f>假設!$B$19*假設!$B$20</f>
        <v>49.032000000000004</v>
      </c>
      <c r="G11" s="6" t="inlineStr">
        <is>
          <t>＝ RMB/EUR × NTD/RMB</t>
        </is>
      </c>
    </row>
    <row r="12">
      <c r="A12" s="11" t="inlineStr">
        <is>
          <t>C1 固定費用：合規系統與團隊（NT$M/年）</t>
        </is>
      </c>
      <c r="B12" s="7" t="n">
        <v>25</v>
      </c>
      <c r="G12" s="6" t="inlineStr">
        <is>
          <t>護照平台 €80–150k + EPR 27 國 + 團隊；假設</t>
        </is>
      </c>
    </row>
    <row r="13">
      <c r="A13" s="11" t="inlineStr">
        <is>
          <t>C1 建置一次性（NT$M，第一年）</t>
        </is>
      </c>
      <c r="B13" s="7" t="n">
        <v>15</v>
      </c>
      <c r="G13" s="6" t="inlineStr">
        <is>
          <t>系統與備品初始庫存</t>
        </is>
      </c>
    </row>
    <row r="14">
      <c r="A14" s="11" t="inlineStr">
        <is>
          <t>C1 第一年出貨占穩態比例</t>
        </is>
      </c>
      <c r="B14" s="8" t="n">
        <v>0.5</v>
      </c>
      <c r="G14" s="6" t="inlineStr">
        <is>
          <t>爬坡</t>
        </is>
      </c>
    </row>
    <row r="16">
      <c r="A16" s="5" t="inlineStr">
        <is>
          <t>C1 年出貨情境（台/年）</t>
        </is>
      </c>
      <c r="B16" s="5" t="inlineStr">
        <is>
          <t>悲觀</t>
        </is>
      </c>
      <c r="C16" s="5" t="inlineStr">
        <is>
          <t>基準</t>
        </is>
      </c>
      <c r="D16" s="5" t="inlineStr">
        <is>
          <t>樂觀</t>
        </is>
      </c>
      <c r="E16" s="5" t="inlineStr"/>
      <c r="F16" s="5" t="inlineStr"/>
      <c r="G16" s="5" t="inlineStr">
        <is>
          <t>說明</t>
        </is>
      </c>
    </row>
    <row r="17">
      <c r="A17" s="11" t="inlineStr">
        <is>
          <t>三電白牌年出貨</t>
        </is>
      </c>
      <c r="B17" s="7" t="n">
        <v>30000</v>
      </c>
      <c r="C17" s="7" t="n">
        <v>60000</v>
      </c>
      <c r="D17" s="7" t="n">
        <v>100000</v>
      </c>
      <c r="G17" s="11" t="inlineStr">
        <is>
          <t>歐洲中價位用八方／安乃達的品牌約 30–45 萬台/年（估）</t>
        </is>
      </c>
    </row>
    <row r="18">
      <c r="A18" s="11" t="inlineStr">
        <is>
          <t>第 5 年在保台數</t>
        </is>
      </c>
      <c r="B18" s="12">
        <f>B17*$B$10</f>
        <v>150000.0</v>
      </c>
      <c r="C18" s="12">
        <f>C17*$B$10</f>
        <v>300000.0</v>
      </c>
      <c r="D18" s="12">
        <f>D17*$B$10</f>
        <v>500000.0</v>
      </c>
    </row>
    <row r="19">
      <c r="A19" s="11" t="inlineStr">
        <is>
          <t>第 5 年硬體毛利（NT$M）</t>
        </is>
      </c>
      <c r="B19" s="15">
        <f>B17*$B$6/(1-$B$7)*$B$7*$B$11/1000000</f>
        <v>26.967600000000004</v>
      </c>
      <c r="C19" s="15">
        <f>C17*$B$6/(1-$B$7)*$B$7*$B$11/1000000</f>
        <v>53.93520000000001</v>
      </c>
      <c r="D19" s="15">
        <f>D17*$B$6/(1-$B$7)*$B$7*$B$11/1000000</f>
        <v>89.892</v>
      </c>
    </row>
    <row r="20">
      <c r="A20" s="11" t="inlineStr">
        <is>
          <t>第 5 年服務毛利（NT$M）</t>
        </is>
      </c>
      <c r="B20" s="15">
        <f>B18*($B$8-$B$9)*$B$11/1000000</f>
        <v>40.4514</v>
      </c>
      <c r="C20" s="15">
        <f>C18*($B$8-$B$9)*$B$11/1000000</f>
        <v>80.9028</v>
      </c>
      <c r="D20" s="15">
        <f>D18*($B$8-$B$9)*$B$11/1000000</f>
        <v>134.838</v>
      </c>
    </row>
    <row r="21">
      <c r="A21" s="11" t="inlineStr">
        <is>
          <t>第 5 年營收（NT$M）</t>
        </is>
      </c>
      <c r="B21" s="15">
        <f>(B17*$B$6/(1-$B$7)+B18*$B$8)*$B$11/1000000</f>
        <v>181.4184</v>
      </c>
      <c r="C21" s="15">
        <f>(C17*$B$6/(1-$B$7)+C18*$B$8)*$B$11/1000000</f>
        <v>362.8368</v>
      </c>
      <c r="D21" s="15">
        <f>(D17*$B$6/(1-$B$7)+D18*$B$8)*$B$11/1000000</f>
        <v>604.728</v>
      </c>
    </row>
    <row r="22">
      <c r="A22" s="16" t="inlineStr">
        <is>
          <t>第 5 年 EBIT（NT$M）</t>
        </is>
      </c>
      <c r="B22" s="23">
        <f>B19+B20-$B$12</f>
        <v>42.41900000000001</v>
      </c>
      <c r="C22" s="23">
        <f>C19+C20-$B$12</f>
        <v>109.83800000000002</v>
      </c>
      <c r="D22" s="23">
        <f>D19+D20-$B$12</f>
        <v>199.73</v>
      </c>
    </row>
    <row r="23">
      <c r="A23" s="11" t="inlineStr">
        <is>
          <t>五年累計 EBIT（NT$M，服務基數線性累積）</t>
        </is>
      </c>
      <c r="B23" s="15">
        <f>5*B19+B20*(1+2+3+4+5)/5-5*$B$12-$B$13</f>
        <v>116.19220000000001</v>
      </c>
      <c r="C23" s="15">
        <f>5*C19+C20*(1+2+3+4+5)/5-5*$B$12-$B$13</f>
        <v>372.3844</v>
      </c>
      <c r="D23" s="15">
        <f>5*D19+D20*(1+2+3+4+5)/5-5*$B$12-$B$13</f>
        <v>713.9739999999999</v>
      </c>
    </row>
    <row r="24">
      <c r="A24" s="16" t="inlineStr">
        <is>
          <t>資金需求峰值（NT$M）</t>
        </is>
      </c>
      <c r="B24" s="18">
        <f>MAX($B$13+$B$12-(B19+B20/5)*$B$14,0)</f>
        <v>22.471059999999998</v>
      </c>
      <c r="C24" s="18">
        <f>MAX($B$13+$B$12-(C19+C20/5)*$B$14,0)</f>
        <v>4.942119999999996</v>
      </c>
      <c r="D24" s="18">
        <f>MAX($B$13+$B$12-(D19+D20/5)*$B$14,0)</f>
        <v>0.0</v>
      </c>
      <c r="G24" s="11" t="inlineStr">
        <is>
          <t>第一年：建置 + 固定費用 − 首年毛利；零電池資產、零 CAC</t>
        </is>
      </c>
    </row>
    <row r="26">
      <c r="A26" s="3" t="inlineStr">
        <is>
          <t>B. B2C 情境（連動五年財務分頁，以量級倍數縮放）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項目</t>
        </is>
      </c>
      <c r="B27" s="5" t="inlineStr">
        <is>
          <t>悲觀</t>
        </is>
      </c>
      <c r="C27" s="5" t="inlineStr">
        <is>
          <t>基準</t>
        </is>
      </c>
      <c r="D27" s="5" t="inlineStr">
        <is>
          <t>樂觀</t>
        </is>
      </c>
      <c r="E27" s="5" t="inlineStr"/>
      <c r="F27" s="5" t="inlineStr"/>
      <c r="G27" s="5" t="inlineStr">
        <is>
          <t>說明</t>
        </is>
      </c>
    </row>
    <row r="28">
      <c r="A28" s="11" t="inlineStr">
        <is>
          <t>量級倍數（對五年財務基準 110k）</t>
        </is>
      </c>
      <c r="B28" s="9" t="n">
        <v>0.36</v>
      </c>
      <c r="C28" s="9" t="n">
        <v>1</v>
      </c>
      <c r="D28" s="9" t="n">
        <v>2.3</v>
      </c>
      <c r="G28" s="11" t="inlineStr">
        <is>
          <t>悲觀 40k、基準 110k、樂觀 250k（SAM 4.7M 的 1–5%）</t>
        </is>
      </c>
    </row>
    <row r="29">
      <c r="A29" s="11" t="inlineStr">
        <is>
          <t>第 5 年出貨（台）</t>
        </is>
      </c>
      <c r="B29" s="12">
        <f>B28*五年財務!F6</f>
        <v>39600.0</v>
      </c>
      <c r="C29" s="12">
        <f>C28*五年財務!F6</f>
        <v>110000.0</v>
      </c>
      <c r="D29" s="12">
        <f>D28*五年財務!F6</f>
        <v>252999.99999999997</v>
      </c>
    </row>
    <row r="30">
      <c r="A30" s="11" t="inlineStr">
        <is>
          <t>第 5 年營收（NT$M）</t>
        </is>
      </c>
      <c r="B30" s="15">
        <f>B28*五年財務!F44</f>
        <v>449.41161445416066</v>
      </c>
      <c r="C30" s="15">
        <f>C28*五年財務!F44</f>
        <v>1248.3655957060018</v>
      </c>
      <c r="D30" s="15">
        <f>D28*五年財務!F44</f>
        <v>2871.240870123804</v>
      </c>
    </row>
    <row r="31">
      <c r="A31" s="16" t="inlineStr">
        <is>
          <t>第 5 年 EBIT（NT$M）</t>
        </is>
      </c>
      <c r="B31" s="23">
        <f>B28*(五年財務!F45-五年財務!F48-五年財務!F49)-五年財務!F47</f>
        <v>43.379544649434294</v>
      </c>
      <c r="C31" s="23">
        <f>C28*(五年財務!F45-五年財務!F48-五年財務!F49)-五年財務!F47</f>
        <v>159.6098462484286</v>
      </c>
      <c r="D31" s="23">
        <f>D28*(五年財務!F45-五年財務!F48-五年財務!F49)-五年財務!F47</f>
        <v>395.70264637138575</v>
      </c>
      <c r="G31" s="11" t="inlineStr">
        <is>
          <t>毛利與變動費用隨量縮放，RD／APP／認證／翻新建置固定</t>
        </is>
      </c>
    </row>
    <row r="32">
      <c r="A32" s="11" t="inlineStr">
        <is>
          <t>五年累計現金流（NT$M）</t>
        </is>
      </c>
      <c r="B32" s="15">
        <f>B28*(五年財務!F54+SUM(五年財務!B47:F47))-SUM(五年財務!B47:F47)</f>
        <v>-72.23591393571071</v>
      </c>
      <c r="C32" s="15">
        <f>C28*(五年財務!F54+SUM(五年財務!B47:F47))-SUM(五年財務!B47:F47)</f>
        <v>0.2335724008035811</v>
      </c>
      <c r="D32" s="15">
        <f>D28*(五年財務!F54+SUM(五年財務!B47:F47))-SUM(五年財務!B47:F47)</f>
        <v>147.4372165218482</v>
      </c>
    </row>
    <row r="33">
      <c r="A33" s="16" t="inlineStr">
        <is>
          <t>資金需求峰值（NT$M，自持電池）</t>
        </is>
      </c>
      <c r="B33" s="18">
        <f>B28*(五年財務!B56-SUM(五年財務!B47:D47))+SUM(五年財務!B47:D47)</f>
        <v>80.34982607930547</v>
      </c>
      <c r="C33" s="18">
        <f>C28*(五年財務!B56-SUM(五年財務!B47:D47))+SUM(五年財務!B47:D47)</f>
        <v>100.52729466473741</v>
      </c>
      <c r="D33" s="18">
        <f>D28*(五年財務!B56-SUM(五年財務!B47:D47))+SUM(五年財務!B47:D47)</f>
        <v>141.51277772889603</v>
      </c>
      <c r="G33" s="11" t="inlineStr">
        <is>
          <t>近似：峰值中的電池資本與 CAC 隨量縮放，前三年固定費用不縮放</t>
        </is>
      </c>
    </row>
    <row r="34">
      <c r="A34" s="11" t="inlineStr">
        <is>
          <t>資金需求峰值（NT$M，SPV 持有電池）</t>
        </is>
      </c>
      <c r="B34" s="15">
        <f>MAX(B28*(-五年財務!B57-SUM(五年財務!B47:C47))+SUM(五年財務!B47:C47),0)</f>
        <v>35.343774753147706</v>
      </c>
      <c r="C34" s="15">
        <f>MAX(C28*(-五年財務!B57-SUM(五年財務!B47:C47))+SUM(五年財務!B47:C47),0)</f>
        <v>18.17715209207696</v>
      </c>
      <c r="D34" s="15">
        <f>MAX(D28*(-五年財務!B57-SUM(五年財務!B47:C47))+SUM(五年財務!B47:C47),0)</f>
        <v>0.0</v>
      </c>
    </row>
    <row r="35">
      <c r="A35" s="11" t="inlineStr">
        <is>
          <t>第 5 年在訂戶（戶）</t>
        </is>
      </c>
      <c r="B35" s="12">
        <f>B28*五年財務!F36</f>
        <v>67955.50080000001</v>
      </c>
      <c r="C35" s="12">
        <f>C28*五年財務!F36</f>
        <v>188765.28000000003</v>
      </c>
      <c r="D35" s="12">
        <f>D28*五年財務!F36</f>
        <v>434160.14400000003</v>
      </c>
    </row>
    <row r="37">
      <c r="A37" s="3" t="inlineStr">
        <is>
          <t>C. 五年對照（基準情境）</t>
        </is>
      </c>
      <c r="B37" s="4" t="n"/>
      <c r="C37" s="4" t="n"/>
      <c r="D37" s="4" t="n"/>
      <c r="E37" s="4" t="n"/>
      <c r="F37" s="4" t="n"/>
      <c r="G37" s="4" t="n"/>
    </row>
    <row r="38">
      <c r="A38" s="5" t="inlineStr">
        <is>
          <t>面向</t>
        </is>
      </c>
      <c r="B38" s="5" t="inlineStr">
        <is>
          <t>C1 合規電池平台 + OEM 服務</t>
        </is>
      </c>
      <c r="C38" s="5" t="inlineStr">
        <is>
          <t>B2C 低價整車 + 電池訂閱</t>
        </is>
      </c>
      <c r="D38" s="5" t="inlineStr"/>
      <c r="E38" s="5" t="inlineStr"/>
      <c r="F38" s="5" t="inlineStr"/>
      <c r="G38" s="5" t="inlineStr">
        <is>
          <t>判讀</t>
        </is>
      </c>
    </row>
    <row r="39">
      <c r="A39" s="6" t="inlineStr">
        <is>
          <t>第 5 年營收（NT$M）</t>
        </is>
      </c>
      <c r="B39" s="15">
        <f>C21</f>
        <v>362.8368</v>
      </c>
      <c r="C39" s="15">
        <f>C30</f>
        <v>1248.3655957060018</v>
      </c>
      <c r="G39" s="6" t="inlineStr">
        <is>
          <t>B2C 約為 C1 的 2.5–3 倍</t>
        </is>
      </c>
    </row>
    <row r="40">
      <c r="A40" s="6" t="inlineStr">
        <is>
          <t>第 5 年 EBIT（NT$M）</t>
        </is>
      </c>
      <c r="B40" s="18">
        <f>C22</f>
        <v>109.83800000000002</v>
      </c>
      <c r="C40" s="18">
        <f>C31</f>
        <v>159.6098462484286</v>
      </c>
      <c r="G40" s="6" t="inlineStr">
        <is>
          <t>同一數量級</t>
        </is>
      </c>
    </row>
    <row r="41">
      <c r="A41" s="6" t="inlineStr">
        <is>
          <t>資金需求峰值（NT$M）</t>
        </is>
      </c>
      <c r="B41" s="15">
        <f>C24</f>
        <v>4.942119999999996</v>
      </c>
      <c r="C41" s="15">
        <f>C33</f>
        <v>100.52729466473741</v>
      </c>
      <c r="G41" s="6" t="inlineStr">
        <is>
          <t>B2C 自持電池；SPV 時見 B 段</t>
        </is>
      </c>
    </row>
    <row r="42">
      <c r="A42" s="6" t="inlineStr">
        <is>
          <t>EBIT ÷ 峰值資金（倍）</t>
        </is>
      </c>
      <c r="B42" s="19">
        <f>IF(C24&gt;0,C22/C24,99)</f>
        <v>22.224875154791896</v>
      </c>
      <c r="C42" s="19">
        <f>C31/C33</f>
        <v>1.5877264655408652</v>
      </c>
      <c r="G42" s="6" t="inlineStr">
        <is>
          <t>資本效率</t>
        </is>
      </c>
    </row>
    <row r="43">
      <c r="A43" s="6" t="inlineStr">
        <is>
          <t>悲觀情境第 5 年 EBIT（NT$M）</t>
        </is>
      </c>
      <c r="B43" s="15">
        <f>B22</f>
        <v>42.41900000000001</v>
      </c>
      <c r="C43" s="15">
        <f>B31</f>
        <v>43.379544649434294</v>
      </c>
      <c r="G43" s="6" t="inlineStr">
        <is>
          <t>下檔</t>
        </is>
      </c>
    </row>
    <row r="44">
      <c r="A44" s="6" t="inlineStr">
        <is>
          <t>樂觀情境第 5 年 EBIT（NT$M）</t>
        </is>
      </c>
      <c r="B44" s="15">
        <f>D22</f>
        <v>199.73</v>
      </c>
      <c r="C44" s="15">
        <f>D31</f>
        <v>395.70264637138575</v>
      </c>
      <c r="G44" s="6" t="inlineStr">
        <is>
          <t>上檔</t>
        </is>
      </c>
    </row>
    <row r="45">
      <c r="A45" s="6" t="inlineStr">
        <is>
          <t>要新建的能力</t>
        </is>
      </c>
      <c r="B45" s="6" t="inlineStr">
        <is>
          <t>幾乎無：既有電池包業務延伸</t>
        </is>
      </c>
      <c r="C45" s="6" t="inlineStr">
        <is>
          <t>C 端客服、催收、逆向物流、車隊管理、通路、品牌（2–3 年）</t>
        </is>
      </c>
      <c r="G45" s="6" t="inlineStr">
        <is>
          <t>V4 分頁 11</t>
        </is>
      </c>
    </row>
    <row r="46">
      <c r="A46" s="6" t="inlineStr">
        <is>
          <t>護城河</t>
        </is>
      </c>
      <c r="B46" s="6" t="inlineStr">
        <is>
          <t>車型級鎖定（認證 + 護照 + 備品），窗口 2027–2029</t>
        </is>
      </c>
      <c r="C46" s="6" t="inlineStr">
        <is>
          <t>電池池 + 資料迴圈（RMB 186/台級），營運型</t>
        </is>
      </c>
      <c r="G46" s="6" t="inlineStr">
        <is>
          <t>皆非技術型</t>
        </is>
      </c>
    </row>
    <row r="47">
      <c r="A47" s="6" t="inlineStr">
        <is>
          <t>最大單一風險</t>
        </is>
      </c>
      <c r="B47" s="6" t="inlineStr">
        <is>
          <t>合規被 BMZ／Bafang 歐洲實體／橫向 EPR 業者商品化；Omnibus 放寬</t>
        </is>
      </c>
      <c r="C47" s="6" t="inlineStr">
        <is>
          <t>CAC 回到 €120 時單戶淨值趨近零</t>
        </is>
      </c>
      <c r="G47" s="6" t="inlineStr">
        <is>
          <t>見 D 段門檻</t>
        </is>
      </c>
    </row>
    <row r="48">
      <c r="A48" s="6" t="inlineStr">
        <is>
          <t>對手反應速度</t>
        </is>
      </c>
      <c r="B48" s="6" t="inlineStr">
        <is>
          <t>慢（需電池工程 + 法定生產者 + 通路）</t>
        </is>
      </c>
      <c r="C48" s="6" t="inlineStr">
        <is>
          <t>快（硬體一週可複製；Giant／Decathlon 一季推 €499 級）</t>
        </is>
      </c>
      <c r="G48" s="6" t="inlineStr"/>
    </row>
    <row r="49">
      <c r="A49" s="6" t="inlineStr">
        <is>
          <t>與 8/28 原則</t>
        </is>
      </c>
      <c r="B49" s="6" t="inlineStr">
        <is>
          <t>完全符合</t>
        </is>
      </c>
      <c r="C49" s="6" t="inlineStr">
        <is>
          <t>抵觸「不重資產」除非 SPV；毛利 15% 門檻第四年才過</t>
        </is>
      </c>
      <c r="G49" s="6" t="inlineStr"/>
    </row>
    <row r="50">
      <c r="A50" s="6" t="inlineStr">
        <is>
          <t>右尾（第 5 年後）</t>
        </is>
      </c>
      <c r="B50" s="6" t="inlineStr">
        <is>
          <t>小：受 OEM 家數與窗口限制</t>
        </is>
      </c>
      <c r="C50" s="6" t="inlineStr">
        <is>
          <t>大：訂閱裝機量複利，50 萬戶 ARR 約 NT$2B</t>
        </is>
      </c>
      <c r="G50" s="6" t="inlineStr"/>
    </row>
    <row r="52">
      <c r="A52" s="3" t="inlineStr">
        <is>
          <t>D. 決策門檻（B2C 放大前必須同時通過；藍字填入試點實測值）</t>
        </is>
      </c>
      <c r="B52" s="4" t="n"/>
      <c r="C52" s="4" t="n"/>
      <c r="D52" s="4" t="n"/>
      <c r="E52" s="4" t="n"/>
      <c r="F52" s="4" t="n"/>
      <c r="G52" s="4" t="n"/>
    </row>
    <row r="53">
      <c r="A53" s="5" t="inlineStr">
        <is>
          <t>門檻</t>
        </is>
      </c>
      <c r="B53" s="5" t="inlineStr">
        <is>
          <t>門檻值</t>
        </is>
      </c>
      <c r="C53" s="5" t="inlineStr">
        <is>
          <t>試點實測（填入）</t>
        </is>
      </c>
      <c r="D53" s="5" t="inlineStr">
        <is>
          <t>判定</t>
        </is>
      </c>
      <c r="E53" s="5" t="inlineStr"/>
      <c r="F53" s="5" t="inlineStr"/>
      <c r="G53" s="5" t="inlineStr">
        <is>
          <t>說明</t>
        </is>
      </c>
    </row>
    <row r="54">
      <c r="A54" s="6" t="inlineStr">
        <is>
          <t>CAC（€/戶，隨車或 B2B2C 通路）</t>
        </is>
      </c>
      <c r="B54" s="7" t="n">
        <v>40</v>
      </c>
      <c r="C54" s="7" t="n">
        <v>120</v>
      </c>
      <c r="D54" s="34" t="str">
        <f>IF(C54&lt;=B54,"通過","未通過")</f>
        <v>未通過</v>
      </c>
      <c r="G54" s="6" t="inlineStr">
        <is>
          <t>薪資扣抵／法人通路才壓得到；B2C 電商 €120 不成立</t>
        </is>
      </c>
    </row>
    <row r="55">
      <c r="A55" s="6" t="inlineStr">
        <is>
          <t>12 個月訂閱留存</t>
        </is>
      </c>
      <c r="B55" s="8" t="n">
        <v>0.8</v>
      </c>
      <c r="C55" s="8" t="n">
        <v>0</v>
      </c>
      <c r="D55" s="34" t="str">
        <f>IF(C55&gt;=B55,"通過","未通過")</f>
        <v>未通過</v>
      </c>
      <c r="G55" s="6" t="inlineStr">
        <is>
          <t>2,000 台試點；低於 75% 單戶淨值轉薄</t>
        </is>
      </c>
    </row>
    <row r="56">
      <c r="A56" s="6" t="inlineStr">
        <is>
          <t>電池資產由 SPV 或租賃夥伴持有（1 = 是）</t>
        </is>
      </c>
      <c r="B56" s="7" t="n">
        <v>1</v>
      </c>
      <c r="C56" s="7" t="n">
        <v>0</v>
      </c>
      <c r="D56" s="34" t="str">
        <f>IF(C56&gt;=B56,"通過","未通過")</f>
        <v>未通過</v>
      </c>
      <c r="G56" s="6" t="inlineStr">
        <is>
          <t>不重資產原則</t>
        </is>
      </c>
    </row>
    <row r="57">
      <c r="A57" s="6" t="inlineStr">
        <is>
          <t>種子車隊 duty cycle：日均 &lt;15 km 占比</t>
        </is>
      </c>
      <c r="B57" s="8" t="n">
        <v>0.6</v>
      </c>
      <c r="C57" s="8" t="n">
        <v>0</v>
      </c>
      <c r="D57" s="34" t="str">
        <f>IF(C57&gt;=B57,"通過","未通過")</f>
        <v>未通過</v>
      </c>
      <c r="G57" s="6" t="inlineStr">
        <is>
          <t>支持 180／252／360Wh 分群，決定 RMB 117 槓桿</t>
        </is>
      </c>
    </row>
    <row r="58">
      <c r="A58" s="6" t="inlineStr">
        <is>
          <t>100k 量級 NT$6,000 隱含毛利（報價覆寫後）</t>
        </is>
      </c>
      <c r="B58" s="8" t="n">
        <v>0.08</v>
      </c>
      <c r="C58" s="8" t="n">
        <v>0.106</v>
      </c>
      <c r="D58" s="34" t="str">
        <f>IF(C58&gt;=B58,"通過","未通過")</f>
        <v>通過</v>
      </c>
      <c r="G58" s="6" t="inlineStr">
        <is>
          <t>第一份模型 BOM 表 E40（台越廠 100k）；三檔書面報價後重算</t>
        </is>
      </c>
    </row>
    <row r="59">
      <c r="A59" s="16" t="inlineStr">
        <is>
          <t>綜合判定</t>
        </is>
      </c>
      <c r="D59" s="34" t="str">
        <f>IF(COUNTIF(D54:D58,"通過")=5,"B2C 放大","B2C 停在 PB 通路 ODM 與 B2B 車隊；C1 為主業")</f>
        <v>B2C 停在 PB 通路 ODM 與 B2B 車隊；C1 為主業</v>
      </c>
      <c r="G59" s="11" t="inlineStr">
        <is>
          <t>五項全過才放大；目前實測欄為預設值，須以試點數據覆寫</t>
        </is>
      </c>
    </row>
    <row r="61">
      <c r="A61" s="3" t="inlineStr">
        <is>
          <t>E. C1 的三個終止訊號</t>
        </is>
      </c>
      <c r="B61" s="4" t="n"/>
      <c r="C61" s="4" t="n"/>
      <c r="D61" s="4" t="n"/>
      <c r="E61" s="4" t="n"/>
      <c r="F61" s="4" t="n"/>
      <c r="G61" s="4" t="n"/>
    </row>
    <row r="62">
      <c r="A62" s="6" t="inlineStr">
        <is>
          <t>Omnibus VIII 定案後再延或放寬護照／可換性 → 2027 談判槓桿消失，服務費只剩 EPR 行政價</t>
        </is>
      </c>
    </row>
    <row r="63">
      <c r="A63" s="6" t="inlineStr">
        <is>
          <t>BMZ 或 Bafang 歐洲實體在 2027 前推出「電池 + 護照 + 備品」套餐 → 整合空白被填掉</t>
        </is>
      </c>
    </row>
    <row r="64">
      <c r="A64" s="6" t="inlineStr">
        <is>
          <t>達方歐洲實體不承擔生產者的財務與法律責任 → 合規只能當代辦，鎖定效果減半</t>
        </is>
      </c>
    </row>
    <row r="66">
      <c r="A66" s="3" t="inlineStr">
        <is>
          <t>F. TAM／SAM／SOM（B2C，台/年，估）</t>
        </is>
      </c>
      <c r="B66" s="4" t="n"/>
      <c r="C66" s="4" t="n"/>
      <c r="D66" s="4" t="n"/>
      <c r="E66" s="4" t="n"/>
      <c r="F66" s="4" t="n"/>
      <c r="G66" s="4" t="n"/>
    </row>
    <row r="67">
      <c r="A67" s="5" t="inlineStr">
        <is>
          <t>層級</t>
        </is>
      </c>
      <c r="B67" s="5" t="inlineStr">
        <is>
          <t>歐洲</t>
        </is>
      </c>
      <c r="C67" s="5" t="inlineStr">
        <is>
          <t>日本</t>
        </is>
      </c>
      <c r="D67" s="5" t="inlineStr">
        <is>
          <t>台灣</t>
        </is>
      </c>
      <c r="E67" s="5" t="inlineStr">
        <is>
          <t>合計</t>
        </is>
      </c>
      <c r="F67" s="5" t="inlineStr"/>
      <c r="G67" s="5" t="inlineStr">
        <is>
          <t>依據</t>
        </is>
      </c>
    </row>
    <row r="68">
      <c r="A68" s="6" t="inlineStr">
        <is>
          <t>傳統（非電動）自行車年銷量</t>
        </is>
      </c>
      <c r="B68" s="7" t="n">
        <v>8000000</v>
      </c>
      <c r="C68" s="7" t="n">
        <v>4000000</v>
      </c>
      <c r="D68" s="7" t="n">
        <v>400000</v>
      </c>
      <c r="E68" s="24">
        <f>SUM(B68:D68)</f>
        <v>12400000.0</v>
      </c>
      <c r="G68" s="6" t="inlineStr">
        <is>
          <t>歐洲總量 12–13M 扣 e-bike 4.5–5M；日本由電助力 78 萬台占 16% 反推；台灣無統計</t>
        </is>
      </c>
    </row>
    <row r="69">
      <c r="A69" s="6" t="inlineStr">
        <is>
          <t>都會通勤、€400–800／¥25–45k 價格帶（SAM）</t>
        </is>
      </c>
      <c r="B69" s="7" t="n">
        <v>2500000</v>
      </c>
      <c r="C69" s="7" t="n">
        <v>2000000</v>
      </c>
      <c r="D69" s="7" t="n">
        <v>200000</v>
      </c>
      <c r="E69" s="24">
        <f>SUM(B69:D69)</f>
        <v>4700000.0</v>
      </c>
      <c r="G69" s="6" t="inlineStr">
        <is>
          <t>估：約三至五成</t>
        </is>
      </c>
    </row>
    <row r="70">
      <c r="A70" s="6" t="inlineStr">
        <is>
          <t>五年可取得 2%（SOM 低）</t>
        </is>
      </c>
      <c r="B70" s="12">
        <f>B69*0.02</f>
        <v>50000.0</v>
      </c>
      <c r="C70" s="12">
        <f>C69*0.02</f>
        <v>40000.0</v>
      </c>
      <c r="D70" s="12">
        <f>D69*0.02</f>
        <v>4000.0</v>
      </c>
      <c r="E70" s="24">
        <f>SUM(B70:D70)</f>
        <v>94000.0</v>
      </c>
      <c r="G70" s="6" t="inlineStr">
        <is>
          <t>＝ SAM × 2%</t>
        </is>
      </c>
    </row>
    <row r="71">
      <c r="A71" s="6" t="inlineStr">
        <is>
          <t>五年可取得 5%（SOM 高）</t>
        </is>
      </c>
      <c r="B71" s="12">
        <f>B69*0.05</f>
        <v>125000.0</v>
      </c>
      <c r="C71" s="12">
        <f>C69*0.05</f>
        <v>100000.0</v>
      </c>
      <c r="D71" s="12">
        <f>D69*0.05</f>
        <v>10000.0</v>
      </c>
      <c r="E71" s="24">
        <f>SUM(B71:D71)</f>
        <v>235000.0</v>
      </c>
      <c r="G71" s="6" t="inlineStr">
        <is>
          <t>＝ SAM × 5%</t>
        </is>
      </c>
    </row>
    <row r="72">
      <c r="A72" s="11" t="inlineStr">
        <is>
          <t>SAM 金額（車體 + 首年訂閱，NT$M）</t>
        </is>
      </c>
      <c r="B72" s="12">
        <f>B69*(入手價!B17+電池訂閱費!C19*12)*$B$11/1000000</f>
        <v>37148.73871306808</v>
      </c>
      <c r="C72" s="12">
        <f>C69*(入手價!B30+電池訂閱費!C61*12)/假設!$B$21*假設!$B$20/1000000</f>
        <v>24738.60109894281</v>
      </c>
      <c r="D72" s="12">
        <f>D69*(入手價!C17+電池訂閱費!C40*12)/1000000</f>
        <v>2150.5837920424406</v>
      </c>
      <c r="E72" s="13">
        <f>SUM(B72:D72)</f>
        <v>64037.92360405333</v>
      </c>
      <c r="G72" s="11" t="inlineStr">
        <is>
          <t>逆向打擊傳統車只在歐洲成立（入手價 &lt; 一般自行車均價）；日本打的是電助力車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2026-09-21T11:45:35Z</dcterms:created>
  <dcterms:modified xmlns:dcterms="http://purl.org/dc/terms/" xmlns:xsi="http://www.w3.org/2001/XMLSchema-instance" xsi:type="dcterms:W3CDTF">2026-09-21T11:45:35Z</dcterms:modified>
</cp:coreProperties>
</file>