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假設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訂閱單位經濟" sheetId="3" state="visible" r:id="rId3"/>
    <sheet xmlns:r="http://schemas.openxmlformats.org/officeDocument/2006/relationships" name="消費者TCO" sheetId="4" state="visible" r:id="rId4"/>
    <sheet xmlns:r="http://schemas.openxmlformats.org/officeDocument/2006/relationships" name="敏感度" sheetId="5" state="visible" r:id="rId5"/>
    <sheet xmlns:r="http://schemas.openxmlformats.org/officeDocument/2006/relationships" name="結論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(#,##0.00);&quot;-&quot;"/>
    <numFmt numFmtId="165" formatCode="#,##0;(#,##0);&quot;-&quot;"/>
    <numFmt numFmtId="166" formatCode="0.0%;(0.0%);&quot;-&quot;"/>
    <numFmt numFmtId="167" formatCode="#,##0.0;(#,##0.0);&quot;-&quot;"/>
  </numFmts>
  <fonts count="11">
    <font>
      <name val="Calibri"/>
      <family val="2"/>
      <color theme="1"/>
      <sz val="11"/>
      <scheme val="minor"/>
    </font>
    <font>
      <name val="Microsoft JhengHei"/>
      <b val="1"/>
      <color rgb="001F3864"/>
      <sz val="14"/>
    </font>
    <font>
      <name val="Microsoft JhengHei"/>
      <i val="1"/>
      <color rgb="00595959"/>
      <sz val="9"/>
    </font>
    <font>
      <name val="Microsoft JhengHei"/>
      <b val="1"/>
      <color rgb="001F3864"/>
      <sz val="10"/>
    </font>
    <font>
      <name val="Microsoft JhengHei"/>
      <b val="1"/>
      <color rgb="00FFFFFF"/>
      <sz val="10"/>
    </font>
    <font>
      <name val="Microsoft JhengHei"/>
      <color rgb="00000000"/>
      <sz val="10"/>
    </font>
    <font>
      <name val="Microsoft JhengHei"/>
      <color rgb="000000FF"/>
      <sz val="10"/>
    </font>
    <font>
      <name val="Microsoft JhengHei"/>
      <color rgb="00008000"/>
      <sz val="10"/>
    </font>
    <font>
      <name val="Microsoft JhengHei"/>
      <b val="1"/>
      <color rgb="00000000"/>
      <sz val="10"/>
    </font>
    <font>
      <name val="Microsoft JhengHei"/>
      <b val="1"/>
      <color rgb="001F3864"/>
      <sz val="11"/>
    </font>
    <font>
      <name val="Microsoft JhengHei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164" fontId="6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166" fontId="6" fillId="0" borderId="1" applyAlignment="1" pivotButton="0" quotePrefix="0" xfId="0">
      <alignment vertical="center"/>
    </xf>
    <xf numFmtId="167" fontId="6" fillId="0" borderId="1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167" fontId="8" fillId="0" borderId="1" applyAlignment="1" pivotButton="0" quotePrefix="0" xfId="0">
      <alignment vertical="center"/>
    </xf>
    <xf numFmtId="167" fontId="8" fillId="4" borderId="1" applyAlignment="1" pivotButton="0" quotePrefix="0" xfId="0">
      <alignment vertical="center"/>
    </xf>
    <xf numFmtId="167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5" fontId="8" fillId="0" borderId="1" applyAlignment="1" pivotButton="0" quotePrefix="0" xfId="0">
      <alignment vertical="center"/>
    </xf>
    <xf numFmtId="166" fontId="8" fillId="4" borderId="1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165" fontId="8" fillId="4" borderId="1" applyAlignment="1" pivotButton="0" quotePrefix="0" xfId="0">
      <alignment vertical="center"/>
    </xf>
    <xf numFmtId="167" fontId="7" fillId="0" borderId="1" applyAlignment="1" pivotButton="0" quotePrefix="0" xfId="0">
      <alignment vertical="center"/>
    </xf>
    <xf numFmtId="166" fontId="8" fillId="0" borderId="1" applyAlignment="1" pivotButton="0" quotePrefix="0" xfId="0">
      <alignment vertical="center"/>
    </xf>
    <xf numFmtId="164" fontId="8" fillId="4" borderId="1" applyAlignment="1" pivotButton="0" quotePrefix="0" xfId="0">
      <alignment vertical="center"/>
    </xf>
    <xf numFmtId="166" fontId="7" fillId="0" borderId="1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60" customWidth="1" min="3" max="3"/>
  </cols>
  <sheetData>
    <row r="1">
      <c r="A1" s="1" t="inlineStr">
        <is>
          <t>極簡版 Hub-motor E-Bike｜訂閱制降低購買門檻｜出廠價 NT$6,000 / RMB 1,300 模型</t>
        </is>
      </c>
    </row>
    <row r="2">
      <c r="A2" s="2" t="inlineStr">
        <is>
          <t>藍字 = 可調輸入值；黑字 = 公式；綠字 = 跨表連結。修改藍字後全表自動重算。基準日 2026-09-21。幣別以標頭為準。</t>
        </is>
      </c>
    </row>
    <row r="4">
      <c r="A4" s="3" t="inlineStr">
        <is>
          <t>A. 匯率</t>
        </is>
      </c>
      <c r="B4" s="4" t="n"/>
      <c r="C4" s="4" t="n"/>
    </row>
    <row r="5">
      <c r="A5" s="5" t="inlineStr">
        <is>
          <t>參數</t>
        </is>
      </c>
      <c r="B5" s="5" t="inlineStr">
        <is>
          <t>值</t>
        </is>
      </c>
      <c r="C5" s="5" t="inlineStr">
        <is>
          <t>說明 / 來源</t>
        </is>
      </c>
    </row>
    <row r="6">
      <c r="A6" s="6" t="inlineStr">
        <is>
          <t>USD / NTD</t>
        </is>
      </c>
      <c r="B6" s="7" t="n">
        <v>31</v>
      </c>
      <c r="C6" s="8" t="inlineStr">
        <is>
          <t>假設值，與三電系統 BOM 報告一致</t>
        </is>
      </c>
    </row>
    <row r="7">
      <c r="A7" s="6" t="inlineStr">
        <is>
          <t>USD / RMB</t>
        </is>
      </c>
      <c r="B7" s="7" t="n">
        <v>7.2</v>
      </c>
      <c r="C7" s="8" t="inlineStr">
        <is>
          <t>假設值</t>
        </is>
      </c>
    </row>
    <row r="8">
      <c r="A8" s="6" t="inlineStr">
        <is>
          <t>EUR / USD</t>
        </is>
      </c>
      <c r="B8" s="7" t="n">
        <v>1.08</v>
      </c>
      <c r="C8" s="8" t="inlineStr">
        <is>
          <t>假設值，與 StealthWheel TCO 模型一致</t>
        </is>
      </c>
    </row>
    <row r="9">
      <c r="A9" s="6" t="inlineStr">
        <is>
          <t>USD / JPY</t>
        </is>
      </c>
      <c r="B9" s="7" t="n">
        <v>157</v>
      </c>
      <c r="C9" s="8" t="inlineStr">
        <is>
          <t>假設值（JPY/EUR 170 ÷ EUR/USD 1.08 ≈ 157）</t>
        </is>
      </c>
    </row>
    <row r="10">
      <c r="A10" s="6" t="inlineStr">
        <is>
          <t>EUR / NTD（導出）</t>
        </is>
      </c>
      <c r="B10" s="9">
        <f>B8*B6</f>
        <v>33.480000000000004</v>
      </c>
      <c r="C10" s="6" t="inlineStr">
        <is>
          <t>＝ EUR/USD × USD/NTD</t>
        </is>
      </c>
    </row>
    <row r="11">
      <c r="A11" s="6" t="inlineStr">
        <is>
          <t>RMB / JPY（導出）</t>
        </is>
      </c>
      <c r="B11" s="9">
        <f>B9/B7</f>
        <v>21.805555555555554</v>
      </c>
      <c r="C11" s="6" t="inlineStr">
        <is>
          <t>＝ USD/JPY ÷ USD/RMB</t>
        </is>
      </c>
    </row>
    <row r="13">
      <c r="A13" s="3" t="inlineStr">
        <is>
          <t>B. 量級與出廠價目標</t>
        </is>
      </c>
      <c r="B13" s="4" t="n"/>
      <c r="C13" s="4" t="n"/>
    </row>
    <row r="14">
      <c r="A14" s="5" t="inlineStr">
        <is>
          <t>參數</t>
        </is>
      </c>
      <c r="B14" s="5" t="inlineStr">
        <is>
          <t>值</t>
        </is>
      </c>
      <c r="C14" s="5" t="inlineStr">
        <is>
          <t>說明 / 來源</t>
        </is>
      </c>
    </row>
    <row r="15">
      <c r="A15" s="6" t="inlineStr">
        <is>
          <t>量級 1（台/年）</t>
        </is>
      </c>
      <c r="B15" s="10" t="n">
        <v>10000</v>
      </c>
      <c r="C15" s="8" t="inlineStr">
        <is>
          <t>種子量產（原提案 Year 1）</t>
        </is>
      </c>
    </row>
    <row r="16">
      <c r="A16" s="6" t="inlineStr">
        <is>
          <t>量級 2（台/年）</t>
        </is>
      </c>
      <c r="B16" s="10" t="n">
        <v>30000</v>
      </c>
      <c r="C16" s="8" t="inlineStr">
        <is>
          <t>區域規模</t>
        </is>
      </c>
    </row>
    <row r="17">
      <c r="A17" s="6" t="inlineStr">
        <is>
          <t>量級 3（台/年）</t>
        </is>
      </c>
      <c r="B17" s="10" t="n">
        <v>100000</v>
      </c>
      <c r="C17" s="8" t="inlineStr">
        <is>
          <t>原提案 BOM 基準量</t>
        </is>
      </c>
    </row>
    <row r="18">
      <c r="A18" s="6" t="inlineStr">
        <is>
          <t>出廠價目標（NT$，台灣/越南廠，不含電池）</t>
        </is>
      </c>
      <c r="B18" s="10" t="n">
        <v>6000</v>
      </c>
      <c r="C18" s="8" t="inlineStr">
        <is>
          <t>使用者設定</t>
        </is>
      </c>
    </row>
    <row r="19">
      <c r="A19" s="6" t="inlineStr">
        <is>
          <t>出廠價目標（RMB，中國廠，不含電池）</t>
        </is>
      </c>
      <c r="B19" s="10" t="n">
        <v>1300</v>
      </c>
      <c r="C19" s="8" t="inlineStr">
        <is>
          <t>使用者設定</t>
        </is>
      </c>
    </row>
    <row r="20">
      <c r="A20" s="6" t="inlineStr">
        <is>
          <t>工廠目標毛利率（出廠價對 BOM）</t>
        </is>
      </c>
      <c r="B20" s="11" t="n">
        <v>0.1</v>
      </c>
      <c r="C20" s="8" t="inlineStr">
        <is>
          <t>ODM 整車廠常態 8–12%（8/28 會議門檻：新事業毛利 ≥12–15%）</t>
        </is>
      </c>
    </row>
    <row r="21">
      <c r="A21" s="6" t="inlineStr">
        <is>
          <t>中國廠對台越廠製造成本折減</t>
        </is>
      </c>
      <c r="B21" s="11" t="n">
        <v>0.05</v>
      </c>
      <c r="C21" s="8" t="inlineStr">
        <is>
          <t>假設：人工與在地零件供應差異；日本版採中國廠</t>
        </is>
      </c>
    </row>
    <row r="22">
      <c r="A22" s="6" t="inlineStr">
        <is>
          <t>EN 15194 + EMC + UN38.3 新平台認證費（USD）</t>
        </is>
      </c>
      <c r="B22" s="10" t="n">
        <v>130000</v>
      </c>
      <c r="C22" s="8" t="inlineStr">
        <is>
          <t>BOM 報告附錄 B：US$80–180k／新平台</t>
        </is>
      </c>
    </row>
    <row r="23">
      <c r="A23" s="6" t="inlineStr">
        <is>
          <t>日本型式認定費（JPY／型）</t>
        </is>
      </c>
      <c r="B23" s="10" t="n">
        <v>377000</v>
      </c>
      <c r="C23" s="8" t="inlineStr">
        <is>
          <t>TCO 模型：¥266,000–377,000／型</t>
        </is>
      </c>
    </row>
    <row r="24">
      <c r="A24" s="6" t="inlineStr">
        <is>
          <t>認證攤提年數</t>
        </is>
      </c>
      <c r="B24" s="10" t="n">
        <v>3</v>
      </c>
      <c r="C24" s="8" t="inlineStr">
        <is>
          <t>假設</t>
        </is>
      </c>
    </row>
    <row r="25">
      <c r="A25" s="6" t="inlineStr">
        <is>
          <t>保固準備金率（佔硬體 BOM）</t>
        </is>
      </c>
      <c r="B25" s="11" t="n">
        <v>0.015</v>
      </c>
      <c r="C25" s="8" t="inlineStr">
        <is>
          <t>假設：以換代修、電池另計</t>
        </is>
      </c>
    </row>
    <row r="26">
      <c r="A26" s="6" t="inlineStr">
        <is>
          <t>日本版占總量比例（攤提用）</t>
        </is>
      </c>
      <c r="B26" s="11" t="n">
        <v>0.3</v>
      </c>
      <c r="C26" s="8" t="inlineStr">
        <is>
          <t>假設</t>
        </is>
      </c>
    </row>
    <row r="28">
      <c r="A28" s="3" t="inlineStr">
        <is>
          <t>C. 歐洲市場假設（EUR）</t>
        </is>
      </c>
      <c r="B28" s="4" t="n"/>
      <c r="C28" s="4" t="n"/>
    </row>
    <row r="29">
      <c r="A29" s="5" t="inlineStr">
        <is>
          <t>參數</t>
        </is>
      </c>
      <c r="B29" s="5" t="inlineStr">
        <is>
          <t>值</t>
        </is>
      </c>
      <c r="C29" s="5" t="inlineStr">
        <is>
          <t>說明 / 來源</t>
        </is>
      </c>
    </row>
    <row r="30">
      <c r="A30" s="6" t="inlineStr">
        <is>
          <t>關稅（台灣製 MFN，越南製 EVFTA 待驗證）</t>
        </is>
      </c>
      <c r="B30" s="11" t="n">
        <v>0.06</v>
      </c>
      <c r="C30" s="8" t="inlineStr">
        <is>
          <t>CN 8711 60 10 MFN 6%；中國製另加 AD 62.1% + CVD 17.2%，本模型不採用</t>
        </is>
      </c>
    </row>
    <row r="31">
      <c r="A31" s="6" t="inlineStr">
        <is>
          <t>海運 + 內陸物流（USD／台，整車 SKD）</t>
        </is>
      </c>
      <c r="B31" s="12" t="n">
        <v>30</v>
      </c>
      <c r="C31" s="8" t="inlineStr">
        <is>
          <t>假設：40HQ 約 120–150 台</t>
        </is>
      </c>
    </row>
    <row r="32">
      <c r="A32" s="6" t="inlineStr">
        <is>
          <t>車體 DTC 目標毛利率</t>
        </is>
      </c>
      <c r="B32" s="11" t="n">
        <v>0.35</v>
      </c>
      <c r="C32" s="8" t="inlineStr">
        <is>
          <t>TCO 模型車架毛利 35%</t>
        </is>
      </c>
    </row>
    <row r="33">
      <c r="A33" s="6" t="inlineStr">
        <is>
          <t>增值稅（德國）</t>
        </is>
      </c>
      <c r="B33" s="11" t="n">
        <v>0.19</v>
      </c>
      <c r="C33" s="8" t="inlineStr"/>
    </row>
    <row r="34">
      <c r="A34" s="6" t="inlineStr">
        <is>
          <t>訂閱呆帳率</t>
        </is>
      </c>
      <c r="B34" s="11" t="n">
        <v>0.05</v>
      </c>
      <c r="C34" s="8" t="inlineStr">
        <is>
          <t>TCO 模型 6%（Upbound 中值）；本案用戶已持有車體，違約動機較低，取 5%</t>
        </is>
      </c>
    </row>
    <row r="35">
      <c r="A35" s="6" t="inlineStr">
        <is>
          <t>金流手續費</t>
        </is>
      </c>
      <c r="B35" s="11" t="n">
        <v>0.025</v>
      </c>
      <c r="C35" s="8" t="inlineStr"/>
    </row>
    <row r="36">
      <c r="A36" s="6" t="inlineStr">
        <is>
          <t>維修／物流準備（EUR／戶／月，僅電池）</t>
        </is>
      </c>
      <c r="B36" s="7" t="n">
        <v>0.4</v>
      </c>
      <c r="C36" s="8" t="inlineStr">
        <is>
          <t>TCO 模型：年故障率 5% × 修理 + 雙程物流</t>
        </is>
      </c>
    </row>
    <row r="37">
      <c r="A37" s="6" t="inlineStr">
        <is>
          <t>失竊補償準備（EUR／戶／月）</t>
        </is>
      </c>
      <c r="B37" s="7" t="n">
        <v>0.5</v>
      </c>
      <c r="C37" s="8" t="inlineStr">
        <is>
          <t>假設：電池失竊率 3%/年 × 電池成本 ≈ €0.15/月，加保險行政取 €0.5</t>
        </is>
      </c>
    </row>
    <row r="38">
      <c r="A38" s="6" t="inlineStr">
        <is>
          <t>客服／APP／雲端（EUR／戶／月）</t>
        </is>
      </c>
      <c r="B38" s="7" t="n">
        <v>0.6</v>
      </c>
      <c r="C38" s="8" t="inlineStr">
        <is>
          <t>TCO 模型 €1.0（含三電診斷）；本案僅電池 SoH 與 BLE，取 €0.6</t>
        </is>
      </c>
    </row>
    <row r="39">
      <c r="A39" s="6" t="inlineStr">
        <is>
          <t>電池更換週期（月）</t>
        </is>
      </c>
      <c r="B39" s="10" t="n">
        <v>48</v>
      </c>
      <c r="C39" s="8" t="inlineStr">
        <is>
          <t>通勤 2,500 km/年、252Wh → 約 125 循環/年（TCO 模型）</t>
        </is>
      </c>
    </row>
    <row r="40">
      <c r="A40" s="6" t="inlineStr">
        <is>
          <t>電池更換物流（EUR／次，經銷點／回收點，非快遞）</t>
        </is>
      </c>
      <c r="B40" s="12" t="n">
        <v>30</v>
      </c>
      <c r="C40" s="8" t="inlineStr">
        <is>
          <t>盡調報告：陸運 €20–50／程；180Wh 以上為 UN3480，不能一般包裹寄送</t>
        </is>
      </c>
    </row>
    <row r="41">
      <c r="A41" s="6" t="inlineStr">
        <is>
          <t>平均訂閱壽命（月）</t>
        </is>
      </c>
      <c r="B41" s="10" t="n">
        <v>36</v>
      </c>
      <c r="C41" s="8" t="inlineStr">
        <is>
          <t>假設：綁定車體持有期（自行車平均持有 5–8 年），保守取 3 年</t>
        </is>
      </c>
    </row>
    <row r="42">
      <c r="A42" s="6" t="inlineStr">
        <is>
          <t>訂閱獲客成本 CAC（EUR）</t>
        </is>
      </c>
      <c r="B42" s="12" t="n">
        <v>30</v>
      </c>
      <c r="C42" s="8" t="inlineStr">
        <is>
          <t>假設：隨車體銷售同時成交，B2C 純電商 CAC €120 不適用</t>
        </is>
      </c>
    </row>
    <row r="43">
      <c r="A43" s="6" t="inlineStr">
        <is>
          <t>期末電池殘值率</t>
        </is>
      </c>
      <c r="B43" s="11" t="n">
        <v>0.15</v>
      </c>
      <c r="C43" s="8" t="inlineStr">
        <is>
          <t>TCO 模型 30%（含馬達）；電池衰退後翻新/儲能再利用取 15%</t>
        </is>
      </c>
    </row>
    <row r="44">
      <c r="A44" s="6" t="inlineStr">
        <is>
          <t>買斷方案年維護費（EUR）</t>
        </is>
      </c>
      <c r="B44" s="12" t="n">
        <v>50</v>
      </c>
      <c r="C44" s="8" t="inlineStr">
        <is>
          <t>TCO 模型假設</t>
        </is>
      </c>
    </row>
    <row r="45">
      <c r="A45" s="6" t="inlineStr">
        <is>
          <t>買斷方案第 4 年換電池（EUR）</t>
        </is>
      </c>
      <c r="B45" s="12" t="n">
        <v>250</v>
      </c>
      <c r="C45" s="8" t="inlineStr">
        <is>
          <t>TCO 模型假設</t>
        </is>
      </c>
    </row>
    <row r="46">
      <c r="A46" s="6" t="inlineStr">
        <is>
          <t>對照：TCO 模型三電全訂閱資產（EUR／戶）</t>
        </is>
      </c>
      <c r="B46" s="12" t="n">
        <v>204.3</v>
      </c>
      <c r="C46" s="8" t="inlineStr">
        <is>
          <t>StealthWheel TCO 模型 1_假設 B42：三電 BOM US$200 落地</t>
        </is>
      </c>
    </row>
    <row r="48">
      <c r="A48" s="3" t="inlineStr">
        <is>
          <t>D. 日本市場假設（JPY）</t>
        </is>
      </c>
      <c r="B48" s="4" t="n"/>
      <c r="C48" s="4" t="n"/>
    </row>
    <row r="49">
      <c r="A49" s="5" t="inlineStr">
        <is>
          <t>參數</t>
        </is>
      </c>
      <c r="B49" s="5" t="inlineStr">
        <is>
          <t>值</t>
        </is>
      </c>
      <c r="C49" s="5" t="inlineStr">
        <is>
          <t>說明 / 來源</t>
        </is>
      </c>
    </row>
    <row r="50">
      <c r="A50" s="6" t="inlineStr">
        <is>
          <t>關稅（中國製整車輸日）</t>
        </is>
      </c>
      <c r="B50" s="11" t="n">
        <v>0</v>
      </c>
      <c r="C50" s="8" t="inlineStr">
        <is>
          <t>待驗證：日本對 8711.60／8712 之 MFN 稅率（本模型暫以 0% 計）</t>
        </is>
      </c>
    </row>
    <row r="51">
      <c r="A51" s="6" t="inlineStr">
        <is>
          <t>海運 + 內陸物流（JPY／台）</t>
        </is>
      </c>
      <c r="B51" s="10" t="n">
        <v>2500</v>
      </c>
      <c r="C51" s="8" t="inlineStr">
        <is>
          <t>假設：華東→日本近洋航線</t>
        </is>
      </c>
    </row>
    <row r="52">
      <c r="A52" s="6" t="inlineStr">
        <is>
          <t>車體零售目標毛利率</t>
        </is>
      </c>
      <c r="B52" s="11" t="n">
        <v>0.35</v>
      </c>
      <c r="C52" s="8" t="inlineStr">
        <is>
          <t>假設：DTC／量販通路</t>
        </is>
      </c>
    </row>
    <row r="53">
      <c r="A53" s="6" t="inlineStr">
        <is>
          <t>消費稅</t>
        </is>
      </c>
      <c r="B53" s="11" t="n">
        <v>0.1</v>
      </c>
      <c r="C53" s="8" t="inlineStr"/>
    </row>
    <row r="54">
      <c r="A54" s="6" t="inlineStr">
        <is>
          <t>訂閱呆帳率</t>
        </is>
      </c>
      <c r="B54" s="11" t="n">
        <v>0.03</v>
      </c>
      <c r="C54" s="8" t="inlineStr">
        <is>
          <t>假設：日本信用卡扣款環境</t>
        </is>
      </c>
    </row>
    <row r="55">
      <c r="A55" s="6" t="inlineStr">
        <is>
          <t>金流手續費</t>
        </is>
      </c>
      <c r="B55" s="11" t="n">
        <v>0.035</v>
      </c>
      <c r="C55" s="8" t="inlineStr">
        <is>
          <t>假設</t>
        </is>
      </c>
    </row>
    <row r="56">
      <c r="A56" s="6" t="inlineStr">
        <is>
          <t>維修／物流準備（JPY／戶／月）</t>
        </is>
      </c>
      <c r="B56" s="10" t="n">
        <v>60</v>
      </c>
      <c r="C56" s="8" t="inlineStr">
        <is>
          <t>假設</t>
        </is>
      </c>
    </row>
    <row r="57">
      <c r="A57" s="6" t="inlineStr">
        <is>
          <t>失竊補償準備（JPY／戶／月）</t>
        </is>
      </c>
      <c r="B57" s="10" t="n">
        <v>80</v>
      </c>
      <c r="C57" s="8" t="inlineStr">
        <is>
          <t>假設</t>
        </is>
      </c>
    </row>
    <row r="58">
      <c r="A58" s="6" t="inlineStr">
        <is>
          <t>客服／APP／雲端（JPY／戶／月）</t>
        </is>
      </c>
      <c r="B58" s="10" t="n">
        <v>100</v>
      </c>
      <c r="C58" s="8" t="inlineStr">
        <is>
          <t>假設</t>
        </is>
      </c>
    </row>
    <row r="59">
      <c r="A59" s="6" t="inlineStr">
        <is>
          <t>電池更換週期（月）</t>
        </is>
      </c>
      <c r="B59" s="10" t="n">
        <v>48</v>
      </c>
      <c r="C59" s="8" t="inlineStr">
        <is>
          <t>同歐洲；日本 1:2 助力比耗電較高，敏感度表另測 36 月</t>
        </is>
      </c>
    </row>
    <row r="60">
      <c r="A60" s="6" t="inlineStr">
        <is>
          <t>電池更換物流（JPY／次，經銷點）</t>
        </is>
      </c>
      <c r="B60" s="10" t="n">
        <v>3000</v>
      </c>
      <c r="C60" s="8" t="inlineStr">
        <is>
          <t>假設</t>
        </is>
      </c>
    </row>
    <row r="61">
      <c r="A61" s="6" t="inlineStr">
        <is>
          <t>平均訂閱壽命（月）</t>
        </is>
      </c>
      <c r="B61" s="10" t="n">
        <v>36</v>
      </c>
      <c r="C61" s="8" t="inlineStr">
        <is>
          <t>假設</t>
        </is>
      </c>
    </row>
    <row r="62">
      <c r="A62" s="6" t="inlineStr">
        <is>
          <t>訂閱獲客成本 CAC（JPY）</t>
        </is>
      </c>
      <c r="B62" s="10" t="n">
        <v>5000</v>
      </c>
      <c r="C62" s="8" t="inlineStr">
        <is>
          <t>假設：隨車體成交</t>
        </is>
      </c>
    </row>
    <row r="63">
      <c r="A63" s="6" t="inlineStr">
        <is>
          <t>期末電池殘值率</t>
        </is>
      </c>
      <c r="B63" s="11" t="n">
        <v>0.15</v>
      </c>
      <c r="C63" s="8" t="inlineStr">
        <is>
          <t>同歐洲</t>
        </is>
      </c>
    </row>
    <row r="64">
      <c r="A64" s="6" t="inlineStr">
        <is>
          <t>買斷方案年維護費（JPY）</t>
        </is>
      </c>
      <c r="B64" s="10" t="n">
        <v>5000</v>
      </c>
      <c r="C64" s="8" t="inlineStr">
        <is>
          <t>假設</t>
        </is>
      </c>
    </row>
    <row r="65">
      <c r="A65" s="6" t="inlineStr">
        <is>
          <t>買斷方案第 4 年換電池（JPY）</t>
        </is>
      </c>
      <c r="B65" s="10" t="n">
        <v>35000</v>
      </c>
      <c r="C65" s="8" t="inlineStr">
        <is>
          <t>假設：Panasonic/Yamaha 原廠電池 ¥30,000–45,000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11" customWidth="1" min="3" max="3"/>
    <col width="11" customWidth="1" min="4" max="4"/>
    <col width="11" customWidth="1" min="5" max="5"/>
    <col width="58" customWidth="1" min="6" max="6"/>
  </cols>
  <sheetData>
    <row r="1">
      <c r="A1" s="1" t="inlineStr">
        <is>
          <t>BOM 與出廠價：極簡版（單速 + 踏頻感測 + 商品化輪轂馬達）</t>
        </is>
      </c>
    </row>
    <row r="2">
      <c r="A2" s="2" t="inlineStr">
        <is>
          <t>USD／台。三個量級為獨立輸入（藍字）；電池與充電器列為訂閱資產，不計入出廠價。</t>
        </is>
      </c>
    </row>
    <row r="4">
      <c r="A4" s="5" t="inlineStr">
        <is>
          <t>項目</t>
        </is>
      </c>
      <c r="B4" s="5" t="inlineStr">
        <is>
          <t>規格</t>
        </is>
      </c>
      <c r="C4" s="5" t="inlineStr">
        <is>
          <t>10k 台/年</t>
        </is>
      </c>
      <c r="D4" s="5" t="inlineStr">
        <is>
          <t>30k 台/年</t>
        </is>
      </c>
      <c r="E4" s="5" t="inlineStr">
        <is>
          <t>100k 台/年</t>
        </is>
      </c>
      <c r="F4" s="5" t="inlineStr">
        <is>
          <t>依據 / 來源</t>
        </is>
      </c>
    </row>
    <row r="5">
      <c r="A5" s="6" t="inlineStr">
        <is>
          <t>量級（台/年）</t>
        </is>
      </c>
      <c r="B5" s="6" t="inlineStr">
        <is>
          <t>連結假設表</t>
        </is>
      </c>
      <c r="C5" s="13">
        <f>假設!$B$15</f>
        <v>10000.0</v>
      </c>
      <c r="D5" s="13">
        <f>假設!$B$16</f>
        <v>30000.0</v>
      </c>
      <c r="E5" s="13">
        <f>假設!$B$17</f>
        <v>100000.0</v>
      </c>
      <c r="F5" s="6" t="inlineStr"/>
    </row>
    <row r="6">
      <c r="A6" s="3" t="inlineStr">
        <is>
          <t>1. 三電（不含電池）── 計入出廠價</t>
        </is>
      </c>
      <c r="B6" s="4" t="n"/>
      <c r="C6" s="4" t="n"/>
      <c r="D6" s="4" t="n"/>
      <c r="E6" s="4" t="n"/>
      <c r="F6" s="4" t="n"/>
    </row>
    <row r="7">
      <c r="A7" s="8" t="inlineStr">
        <is>
          <t>250W 齒輪後輪轂馬達</t>
        </is>
      </c>
      <c r="B7" s="8" t="inlineStr">
        <is>
          <t>商品化 2.3–3.0 kg、30–32 N·m、135mm 開檔、螺紋單飛座（Bafang RM G010／安乃達／XOFO 級）</t>
        </is>
      </c>
      <c r="C7" s="12" t="n">
        <v>55</v>
      </c>
      <c r="D7" s="12" t="n">
        <v>47</v>
      </c>
      <c r="E7" s="12" t="n">
        <v>42</v>
      </c>
      <c r="F7" s="8" t="inlineStr">
        <is>
          <t>盡調報告：Bafang RM G010 FOB US$69–79 @500 pcs；BOM 報告附錄 B：Bafang/安乃達齒輪輪轂 ASP RMB 230–335（US$32–47）、通用 250W 輪轂 Alibaba ≈US$55。10 萬台取 ASP 上緣。無書面報價。</t>
        </is>
      </c>
    </row>
    <row r="8">
      <c r="A8" s="8" t="inlineStr">
        <is>
          <t>正弦波控制器 36V 15A（踏頻版）</t>
        </is>
      </c>
      <c r="B8" s="8" t="inlineStr">
        <is>
          <t>分離式，含 LED 燈輸出、煞車斷電、速度分段助力曲線</t>
        </is>
      </c>
      <c r="C8" s="12" t="n">
        <v>12</v>
      </c>
      <c r="D8" s="12" t="n">
        <v>10</v>
      </c>
      <c r="E8" s="12" t="n">
        <v>9</v>
      </c>
      <c r="F8" s="8" t="inlineStr">
        <is>
          <t>BOM 報告附錄 B：輪轂套件（控制器/顯示/感測）約 US$60；踏頻版無 TFT、無扭力，中系批發估 US$8–15</t>
        </is>
      </c>
    </row>
    <row r="9">
      <c r="A9" s="8" t="inlineStr">
        <is>
          <t>踏頻感測器 PAS</t>
        </is>
      </c>
      <c r="B9" s="8" t="inlineStr">
        <is>
          <t>12 磁盤 + 霍爾</t>
        </is>
      </c>
      <c r="C9" s="12" t="n">
        <v>2</v>
      </c>
      <c r="D9" s="12" t="n">
        <v>1.7</v>
      </c>
      <c r="E9" s="12" t="n">
        <v>1.5</v>
      </c>
      <c r="F9" s="8" t="inlineStr">
        <is>
          <t>商品化元件，估值</t>
        </is>
      </c>
    </row>
    <row r="10">
      <c r="A10" s="8" t="inlineStr">
        <is>
          <t>煞車斷電感測 ×2</t>
        </is>
      </c>
      <c r="B10" s="8" t="inlineStr">
        <is>
          <t>磁簧式，整合於煞車把手</t>
        </is>
      </c>
      <c r="C10" s="12" t="n">
        <v>2</v>
      </c>
      <c r="D10" s="12" t="n">
        <v>1.7</v>
      </c>
      <c r="E10" s="12" t="n">
        <v>1.5</v>
      </c>
      <c r="F10" s="8" t="inlineStr">
        <is>
          <t>BESV 錨點 NT$180/個（小量）；大量估 US$0.75/個</t>
        </is>
      </c>
    </row>
    <row r="11">
      <c r="A11" s="8" t="inlineStr">
        <is>
          <t>三段 LED 電量／助力按鍵（無儀表）</t>
        </is>
      </c>
      <c r="B11" s="8" t="inlineStr">
        <is>
          <t>上管或把手單鍵 + 3 LED</t>
        </is>
      </c>
      <c r="C11" s="12" t="n">
        <v>4</v>
      </c>
      <c r="D11" s="12" t="n">
        <v>3.3</v>
      </c>
      <c r="E11" s="12" t="n">
        <v>3</v>
      </c>
      <c r="F11" s="8" t="inlineStr">
        <is>
          <t>原提案：上管單鍵 RGB；商品化 LED 按鍵 US$2.5–4</t>
        </is>
      </c>
    </row>
    <row r="12">
      <c r="A12" s="8" t="inlineStr">
        <is>
          <t>線束 + 電源座</t>
        </is>
      </c>
      <c r="B12" s="8" t="inlineStr">
        <is>
          <t>外走線、無內走線孔</t>
        </is>
      </c>
      <c r="C12" s="12" t="n">
        <v>5</v>
      </c>
      <c r="D12" s="12" t="n">
        <v>4.5</v>
      </c>
      <c r="E12" s="12" t="n">
        <v>4</v>
      </c>
      <c r="F12" s="8" t="inlineStr">
        <is>
          <t>BESV 錨點 Cartridge 主線束 NT$771（小量）；大量估 US$4–5</t>
        </is>
      </c>
    </row>
    <row r="13">
      <c r="A13" s="14" t="inlineStr">
        <is>
          <t>三電小計（不含電池）</t>
        </is>
      </c>
      <c r="B13" s="6" t="inlineStr"/>
      <c r="C13" s="15">
        <f>SUM(C7:C12)</f>
        <v>80.0</v>
      </c>
      <c r="D13" s="15">
        <f>SUM(D7:D12)</f>
        <v>68.2</v>
      </c>
      <c r="E13" s="15">
        <f>SUM(E7:E12)</f>
        <v>61.0</v>
      </c>
      <c r="F13" s="6" t="inlineStr"/>
    </row>
    <row r="15">
      <c r="A15" s="3" t="inlineStr">
        <is>
          <t>2. 電池與充電器 ── 訂閱資產，不計入出廠價</t>
        </is>
      </c>
      <c r="B15" s="4" t="n"/>
      <c r="C15" s="4" t="n"/>
      <c r="D15" s="4" t="n"/>
      <c r="E15" s="4" t="n"/>
      <c r="F15" s="4" t="n"/>
    </row>
    <row r="16">
      <c r="A16" s="8" t="inlineStr">
        <is>
          <t>36V 7Ah 252Wh 電池組</t>
        </is>
      </c>
      <c r="B16" s="8" t="inlineStr">
        <is>
          <t>10s2p 18650 3.5Ah 中系電芯、BMS（含 BLE SoH 回報）、ABS 殼、鎖具、後貨架式或下管掛載</t>
        </is>
      </c>
      <c r="C16" s="12" t="n">
        <v>56</v>
      </c>
      <c r="D16" s="12" t="n">
        <v>50</v>
      </c>
      <c r="E16" s="12" t="n">
        <v>46</v>
      </c>
      <c r="F16" s="8" t="inlineStr">
        <is>
          <t>BOM 報告：中系電芯 NT$2.8/Wh（US$0.09/Wh）→ 252Wh 電芯 ≈US$23；BMS US$5；殼/鎖/連接器 US$10；組裝測試 UN38.3 US$5–8。對照 500Wh 包 FOB US$150（Tier-1 電芯）。</t>
        </is>
      </c>
    </row>
    <row r="17">
      <c r="A17" s="8" t="inlineStr">
        <is>
          <t>36V 2A 充電器</t>
        </is>
      </c>
      <c r="B17" s="8" t="inlineStr">
        <is>
          <t>全電壓、CE/PSE</t>
        </is>
      </c>
      <c r="C17" s="12" t="n">
        <v>9</v>
      </c>
      <c r="D17" s="12" t="n">
        <v>7.5</v>
      </c>
      <c r="E17" s="12" t="n">
        <v>7</v>
      </c>
      <c r="F17" s="8" t="inlineStr">
        <is>
          <t>BOM 報告附錄 B：Alibaba 42V 2A 充電器批發 US$6.5–11</t>
        </is>
      </c>
    </row>
    <row r="18">
      <c r="A18" s="14" t="inlineStr">
        <is>
          <t>電池 + 充電器小計（訂閱資產）</t>
        </is>
      </c>
      <c r="B18" s="6" t="inlineStr"/>
      <c r="C18" s="15">
        <f>SUM(C16:C17)</f>
        <v>65.0</v>
      </c>
      <c r="D18" s="15">
        <f>SUM(D16:D17)</f>
        <v>57.5</v>
      </c>
      <c r="E18" s="15">
        <f>SUM(E16:E17)</f>
        <v>53.0</v>
      </c>
      <c r="F18" s="6" t="inlineStr"/>
    </row>
    <row r="20">
      <c r="A20" s="3" t="inlineStr">
        <is>
          <t>3. 車體 ── 計入出廠價</t>
        </is>
      </c>
      <c r="B20" s="4" t="n"/>
      <c r="C20" s="4" t="n"/>
      <c r="D20" s="4" t="n"/>
      <c r="E20" s="4" t="n"/>
      <c r="F20" s="4" t="n"/>
    </row>
    <row r="21">
      <c r="A21" s="8" t="inlineStr">
        <is>
          <t>鋁合金公版車架 + 剛性前叉</t>
        </is>
      </c>
      <c r="B21" s="8" t="inlineStr">
        <is>
          <t>700c 或 26 吋城市車幾何、135mm 開檔、無內走線孔、無電裝開模</t>
        </is>
      </c>
      <c r="C21" s="12" t="n">
        <v>50</v>
      </c>
      <c r="D21" s="12" t="n">
        <v>45</v>
      </c>
      <c r="E21" s="12" t="n">
        <v>42</v>
      </c>
      <c r="F21" s="8" t="inlineStr">
        <is>
          <t>原提案 US$58（公版）；TCO 模型 US$62（需容納 Ø130 母模）。本案無特製需求，取公版下緣。</t>
        </is>
      </c>
    </row>
    <row r="22">
      <c r="A22" s="8" t="inlineStr">
        <is>
          <t>輪組 + 外胎內胎</t>
        </is>
      </c>
      <c r="B22" s="8" t="inlineStr">
        <is>
          <t>前輪完整；後輪圈 + 輻條編於馬達花鼓；城市防刺胎</t>
        </is>
      </c>
      <c r="C22" s="12" t="n">
        <v>24</v>
      </c>
      <c r="D22" s="12" t="n">
        <v>21.5</v>
      </c>
      <c r="E22" s="12" t="n">
        <v>20</v>
      </c>
      <c r="F22" s="8" t="inlineStr">
        <is>
          <t>估值；盡調報告：編輪工資含於煞車與配件 US$24</t>
        </is>
      </c>
    </row>
    <row r="23">
      <c r="A23" s="8" t="inlineStr">
        <is>
          <t>煞車（V 煞前後，含把手）</t>
        </is>
      </c>
      <c r="B23" s="8" t="inlineStr">
        <is>
          <t>機械碟煞版另加 US$8</t>
        </is>
      </c>
      <c r="C23" s="12" t="n">
        <v>7</v>
      </c>
      <c r="D23" s="12" t="n">
        <v>6.3</v>
      </c>
      <c r="E23" s="12" t="n">
        <v>6</v>
      </c>
      <c r="F23" s="8" t="inlineStr">
        <is>
          <t>原提案機械碟煞含配件 US$19；V 煞為城市車最低成本方案</t>
        </is>
      </c>
    </row>
    <row r="24">
      <c r="A24" s="8" t="inlineStr">
        <is>
          <t>單速傳動</t>
        </is>
      </c>
      <c r="B24" s="8" t="inlineStr">
        <is>
          <t>44T 曲柄組、方孔 BB、鏈條、16T 單速飛輪、踏板</t>
        </is>
      </c>
      <c r="C24" s="12" t="n">
        <v>14</v>
      </c>
      <c r="D24" s="12" t="n">
        <v>12.8</v>
      </c>
      <c r="E24" s="12" t="n">
        <v>12</v>
      </c>
      <c r="F24" s="8" t="inlineStr">
        <is>
          <t>原提案 US$6.5 僅鏈條 + 飛輪；加曲柄/BB/踏板</t>
        </is>
      </c>
    </row>
    <row r="25">
      <c r="A25" s="8" t="inlineStr">
        <is>
          <t>座艙</t>
        </is>
      </c>
      <c r="B25" s="8" t="inlineStr">
        <is>
          <t>把手、龍頭、碗組、握把、座墊、座管</t>
        </is>
      </c>
      <c r="C25" s="12" t="n">
        <v>13</v>
      </c>
      <c r="D25" s="12" t="n">
        <v>11.8</v>
      </c>
      <c r="E25" s="12" t="n">
        <v>11</v>
      </c>
      <c r="F25" s="8" t="inlineStr">
        <is>
          <t>估值</t>
        </is>
      </c>
    </row>
    <row r="26">
      <c r="A26" s="8" t="inlineStr">
        <is>
          <t>配件</t>
        </is>
      </c>
      <c r="B26" s="8" t="inlineStr">
        <is>
          <t>擋泥板、側柱、LED 前後燈（控制器供電）、反光片、車鈴</t>
        </is>
      </c>
      <c r="C26" s="12" t="n">
        <v>9</v>
      </c>
      <c r="D26" s="12" t="n">
        <v>8.4</v>
      </c>
      <c r="E26" s="12" t="n">
        <v>8</v>
      </c>
      <c r="F26" s="8" t="inlineStr">
        <is>
          <t>估值；EN 15194／日本道交法之最低配備</t>
        </is>
      </c>
    </row>
    <row r="27">
      <c r="A27" s="8" t="inlineStr">
        <is>
          <t>包裝 + 組裝工時</t>
        </is>
      </c>
      <c r="B27" s="8" t="inlineStr">
        <is>
          <t>SKD 85% 組裝、免走線免調變速，約 10–12 分鐘</t>
        </is>
      </c>
      <c r="C27" s="12" t="n">
        <v>12</v>
      </c>
      <c r="D27" s="12" t="n">
        <v>11</v>
      </c>
      <c r="E27" s="12" t="n">
        <v>10</v>
      </c>
      <c r="F27" s="8" t="inlineStr">
        <is>
          <t>原提案 US$9.5（10 分鐘）；TCO 模型 US$14</t>
        </is>
      </c>
    </row>
    <row r="28">
      <c r="A28" s="6" t="inlineStr">
        <is>
          <t>認證攤提（EN 15194 + EMC + UN38.3）</t>
        </is>
      </c>
      <c r="B28" s="6" t="inlineStr">
        <is>
          <t>＝ 認證費 ÷ (量級 × 攤提年數)</t>
        </is>
      </c>
      <c r="C28" s="9">
        <f>假設!$B$22/(C$5*假設!$B$24)</f>
        <v>4.333333333333333</v>
      </c>
      <c r="D28" s="9">
        <f>假設!$B$22/(D$5*假設!$B$24)</f>
        <v>1.4444444444444444</v>
      </c>
      <c r="E28" s="9">
        <f>假設!$B$22/(E$5*假設!$B$24)</f>
        <v>0.43333333333333335</v>
      </c>
      <c r="F28" s="6" t="inlineStr">
        <is>
          <t>假設表 B 段；BOM 報告附錄 B：US$80–180k／新平台</t>
        </is>
      </c>
    </row>
    <row r="29">
      <c r="A29" s="6" t="inlineStr">
        <is>
          <t>保固準備金</t>
        </is>
      </c>
      <c r="B29" s="6" t="inlineStr">
        <is>
          <t>＝ 保固率 × (三電 + 車體硬體)</t>
        </is>
      </c>
      <c r="C29" s="9">
        <f>假設!$B$25*(C13+SUM(C21:C27))</f>
        <v>3.135</v>
      </c>
      <c r="D29" s="9">
        <f>假設!$B$25*(D13+SUM(D21:D27))</f>
        <v>2.775</v>
      </c>
      <c r="E29" s="9">
        <f>假設!$B$25*(E13+SUM(E21:E27))</f>
        <v>2.55</v>
      </c>
      <c r="F29" s="6" t="inlineStr">
        <is>
          <t>假設表 B 段</t>
        </is>
      </c>
    </row>
    <row r="30">
      <c r="A30" s="14" t="inlineStr">
        <is>
          <t>車體小計</t>
        </is>
      </c>
      <c r="B30" s="6" t="inlineStr"/>
      <c r="C30" s="15">
        <f>SUM(C21:C29)</f>
        <v>136.4683333333333</v>
      </c>
      <c r="D30" s="15">
        <f>SUM(D21:D29)</f>
        <v>121.01944444444445</v>
      </c>
      <c r="E30" s="15">
        <f>SUM(E21:E29)</f>
        <v>111.98333333333333</v>
      </c>
      <c r="F30" s="6" t="inlineStr"/>
    </row>
    <row r="32">
      <c r="A32" s="3" t="inlineStr">
        <is>
          <t>4. 成本彙總與出廠價（台灣／越南廠，歐洲版）</t>
        </is>
      </c>
      <c r="B32" s="4" t="n"/>
      <c r="C32" s="4" t="n"/>
      <c r="D32" s="4" t="n"/>
      <c r="E32" s="4" t="n"/>
      <c r="F32" s="4" t="n"/>
    </row>
    <row r="33">
      <c r="A33" s="5" t="inlineStr">
        <is>
          <t>項目</t>
        </is>
      </c>
      <c r="B33" s="5" t="inlineStr">
        <is>
          <t>公式</t>
        </is>
      </c>
      <c r="C33" s="5" t="inlineStr">
        <is>
          <t>10k 台/年</t>
        </is>
      </c>
      <c r="D33" s="5" t="inlineStr">
        <is>
          <t>30k 台/年</t>
        </is>
      </c>
      <c r="E33" s="5" t="inlineStr">
        <is>
          <t>100k 台/年</t>
        </is>
      </c>
      <c r="F33" s="5" t="inlineStr">
        <is>
          <t>判讀</t>
        </is>
      </c>
    </row>
    <row r="34">
      <c r="A34" s="14" t="inlineStr">
        <is>
          <t>整車 BOM（不含電池，USD）</t>
        </is>
      </c>
      <c r="B34" s="6" t="inlineStr">
        <is>
          <t>＝ 三電 + 車體</t>
        </is>
      </c>
      <c r="C34" s="16">
        <f>C13+C30</f>
        <v>216.4683333333333</v>
      </c>
      <c r="D34" s="16">
        <f>D13+D30</f>
        <v>189.21944444444443</v>
      </c>
      <c r="E34" s="16">
        <f>E13+E30</f>
        <v>172.98333333333335</v>
      </c>
      <c r="F34" s="6" t="inlineStr">
        <is>
          <t>出廠價的成本基礎</t>
        </is>
      </c>
    </row>
    <row r="35">
      <c r="A35" s="6" t="inlineStr">
        <is>
          <t>整車 BOM（含電池 + 充電器，USD）</t>
        </is>
      </c>
      <c r="B35" s="6" t="inlineStr">
        <is>
          <t>＝ 上列 + 訂閱資產</t>
        </is>
      </c>
      <c r="C35" s="17">
        <f>C34+C18</f>
        <v>281.4683333333333</v>
      </c>
      <c r="D35" s="17">
        <f>D34+D18</f>
        <v>246.71944444444443</v>
      </c>
      <c r="E35" s="17">
        <f>E34+E18</f>
        <v>225.98333333333335</v>
      </c>
      <c r="F35" s="6" t="inlineStr">
        <is>
          <t>若電池隨車賣斷的成本</t>
        </is>
      </c>
    </row>
    <row r="36">
      <c r="A36" s="6" t="inlineStr">
        <is>
          <t>整車 BOM（不含電池，NT$）</t>
        </is>
      </c>
      <c r="B36" s="6" t="inlineStr">
        <is>
          <t>× USD/NTD</t>
        </is>
      </c>
      <c r="C36" s="18">
        <f>C34*假設!$B$6</f>
        <v>6710.5183333333325</v>
      </c>
      <c r="D36" s="18">
        <f>D34*假設!$B$6</f>
        <v>5865.802777777777</v>
      </c>
      <c r="E36" s="18">
        <f>E34*假設!$B$6</f>
        <v>5362.483333333334</v>
      </c>
      <c r="F36" s="6" t="inlineStr"/>
    </row>
    <row r="37">
      <c r="A37" s="6" t="inlineStr">
        <is>
          <t>整車 BOM（含電池，NT$）</t>
        </is>
      </c>
      <c r="B37" s="6" t="inlineStr">
        <is>
          <t>× USD/NTD</t>
        </is>
      </c>
      <c r="C37" s="18">
        <f>C35*假設!$B$6</f>
        <v>8725.518333333332</v>
      </c>
      <c r="D37" s="18">
        <f>D35*假設!$B$6</f>
        <v>7648.302777777777</v>
      </c>
      <c r="E37" s="18">
        <f>E35*假設!$B$6</f>
        <v>7005.483333333334</v>
      </c>
      <c r="F37" s="6" t="inlineStr"/>
    </row>
    <row r="38">
      <c r="A38" s="14" t="inlineStr">
        <is>
          <t>出廠價 @ 目標毛利（不含電池，NT$）</t>
        </is>
      </c>
      <c r="B38" s="6" t="inlineStr">
        <is>
          <t>＝ BOM ÷ (1 − 工廠毛利率)</t>
        </is>
      </c>
      <c r="C38" s="19">
        <f>C36/(1-假設!$B$20)</f>
        <v>7456.1314814814805</v>
      </c>
      <c r="D38" s="19">
        <f>D36/(1-假設!$B$20)</f>
        <v>6517.558641975307</v>
      </c>
      <c r="E38" s="19">
        <f>E36/(1-假設!$B$20)</f>
        <v>5958.314814814815</v>
      </c>
      <c r="F38" s="6" t="inlineStr">
        <is>
          <t>與 NT$6,000 目標比較</t>
        </is>
      </c>
    </row>
    <row r="39">
      <c r="A39" s="6" t="inlineStr">
        <is>
          <t>出廠價 @ 目標毛利（含電池，NT$）</t>
        </is>
      </c>
      <c r="B39" s="6" t="inlineStr">
        <is>
          <t>＝ BOM ÷ (1 − 工廠毛利率)</t>
        </is>
      </c>
      <c r="C39" s="18">
        <f>C37/(1-假設!$B$20)</f>
        <v>9695.020370370368</v>
      </c>
      <c r="D39" s="18">
        <f>D37/(1-假設!$B$20)</f>
        <v>8498.114197530864</v>
      </c>
      <c r="E39" s="18">
        <f>E37/(1-假設!$B$20)</f>
        <v>7783.87037037037</v>
      </c>
      <c r="F39" s="6" t="inlineStr">
        <is>
          <t>電池隨車賣斷時無法達標</t>
        </is>
      </c>
    </row>
    <row r="40">
      <c r="A40" s="14" t="inlineStr">
        <is>
          <t>NT$6,000 出廠價隱含工廠毛利率（不含電池）</t>
        </is>
      </c>
      <c r="B40" s="6" t="inlineStr">
        <is>
          <t>＝ 1 − BOM ÷ 目標出廠價</t>
        </is>
      </c>
      <c r="C40" s="20">
        <f>1-C36/假設!$B$18</f>
        <v>-0.11841972222222208</v>
      </c>
      <c r="D40" s="20">
        <f>1-D36/假設!$B$18</f>
        <v>0.02236620370370379</v>
      </c>
      <c r="E40" s="20">
        <f>1-E36/假設!$B$18</f>
        <v>0.10625277777777775</v>
      </c>
      <c r="F40" s="6" t="inlineStr">
        <is>
          <t>≥ 8–10% 才有 ODM 廠願意接</t>
        </is>
      </c>
    </row>
    <row r="41">
      <c r="A41" s="6" t="inlineStr">
        <is>
          <t>NT$6,000 出廠價隱含工廠毛利率（含電池）</t>
        </is>
      </c>
      <c r="B41" s="6" t="inlineStr">
        <is>
          <t>＝ 1 − BOM ÷ 目標出廠價</t>
        </is>
      </c>
      <c r="C41" s="21">
        <f>1-C37/假設!$B$18</f>
        <v>-0.4542530555555553</v>
      </c>
      <c r="D41" s="21">
        <f>1-D37/假設!$B$18</f>
        <v>-0.2747171296296296</v>
      </c>
      <c r="E41" s="21">
        <f>1-E37/假設!$B$18</f>
        <v>-0.16758055555555562</v>
      </c>
      <c r="F41" s="6" t="inlineStr">
        <is>
          <t>全部為負值 → 電池必須移出出廠價</t>
        </is>
      </c>
    </row>
    <row r="42">
      <c r="A42" s="6" t="inlineStr">
        <is>
          <t>達標所需 BOM 上限（USD，不含電池）</t>
        </is>
      </c>
      <c r="B42" s="6" t="inlineStr">
        <is>
          <t>＝ 目標出廠價 × (1 − 毛利率) ÷ USD/NTD</t>
        </is>
      </c>
      <c r="C42" s="17">
        <f>假設!$B$18*(1-假設!$B$20)/假設!$B$6</f>
        <v>174.19354838709677</v>
      </c>
      <c r="D42" s="17">
        <f>假設!$B$18*(1-假設!$B$20)/假設!$B$6</f>
        <v>174.19354838709677</v>
      </c>
      <c r="E42" s="17">
        <f>假設!$B$18*(1-假設!$B$20)/假設!$B$6</f>
        <v>174.19354838709677</v>
      </c>
      <c r="F42" s="6" t="inlineStr">
        <is>
          <t>BOM 天花板</t>
        </is>
      </c>
    </row>
    <row r="43">
      <c r="A43" s="6" t="inlineStr">
        <is>
          <t>缺口（USD，正值 = 超出天花板）</t>
        </is>
      </c>
      <c r="B43" s="6" t="inlineStr">
        <is>
          <t>＝ BOM − 上限</t>
        </is>
      </c>
      <c r="C43" s="17">
        <f>C34-C42</f>
        <v>42.27478494623654</v>
      </c>
      <c r="D43" s="17">
        <f>D34-D42</f>
        <v>15.025896057347666</v>
      </c>
      <c r="E43" s="17">
        <f>E34-E42</f>
        <v>-1.2102150537634202</v>
      </c>
      <c r="F43" s="6" t="inlineStr">
        <is>
          <t>負值代表已達標</t>
        </is>
      </c>
    </row>
    <row r="45">
      <c r="A45" s="3" t="inlineStr">
        <is>
          <t>5. 中國廠版本（RMB）與日本版增量</t>
        </is>
      </c>
      <c r="B45" s="4" t="n"/>
      <c r="C45" s="4" t="n"/>
      <c r="D45" s="4" t="n"/>
      <c r="E45" s="4" t="n"/>
      <c r="F45" s="4" t="n"/>
    </row>
    <row r="46">
      <c r="A46" s="5" t="inlineStr">
        <is>
          <t>項目</t>
        </is>
      </c>
      <c r="B46" s="5" t="inlineStr">
        <is>
          <t>公式 / 規格</t>
        </is>
      </c>
      <c r="C46" s="5" t="inlineStr">
        <is>
          <t>10k 台/年</t>
        </is>
      </c>
      <c r="D46" s="5" t="inlineStr">
        <is>
          <t>30k 台/年</t>
        </is>
      </c>
      <c r="E46" s="5" t="inlineStr">
        <is>
          <t>100k 台/年</t>
        </is>
      </c>
      <c r="F46" s="5" t="inlineStr">
        <is>
          <t>依據 / 判讀</t>
        </is>
      </c>
    </row>
    <row r="47">
      <c r="A47" s="6" t="inlineStr">
        <is>
          <t>基礎版 BOM（中國廠，不含電池，USD）</t>
        </is>
      </c>
      <c r="B47" s="6" t="inlineStr">
        <is>
          <t>＝ 台越廠 BOM × (1 − 折減)</t>
        </is>
      </c>
      <c r="C47" s="17">
        <f>C34*(1-假設!$B$21)</f>
        <v>205.64491666666663</v>
      </c>
      <c r="D47" s="17">
        <f>D34*(1-假設!$B$21)</f>
        <v>179.7584722222222</v>
      </c>
      <c r="E47" s="17">
        <f>E34*(1-假設!$B$21)</f>
        <v>164.33416666666668</v>
      </c>
      <c r="F47" s="6" t="inlineStr">
        <is>
          <t>假設表 B 段折減率</t>
        </is>
      </c>
    </row>
    <row r="48">
      <c r="A48" s="6" t="inlineStr">
        <is>
          <t>基礎版 BOM（中國廠，不含電池，RMB）</t>
        </is>
      </c>
      <c r="B48" s="6" t="inlineStr">
        <is>
          <t>× USD/RMB</t>
        </is>
      </c>
      <c r="C48" s="18">
        <f>C47*假設!$B$7</f>
        <v>1480.6433999999997</v>
      </c>
      <c r="D48" s="18">
        <f>D47*假設!$B$7</f>
        <v>1294.2609999999997</v>
      </c>
      <c r="E48" s="18">
        <f>E47*假設!$B$7</f>
        <v>1183.2060000000001</v>
      </c>
      <c r="F48" s="6" t="inlineStr"/>
    </row>
    <row r="49">
      <c r="A49" s="14" t="inlineStr">
        <is>
          <t>RMB 1,300 出廠價隱含工廠毛利率（基礎版）</t>
        </is>
      </c>
      <c r="B49" s="6" t="inlineStr">
        <is>
          <t>＝ 1 − BOM ÷ 目標</t>
        </is>
      </c>
      <c r="C49" s="20">
        <f>1-C48/假設!$B$19</f>
        <v>-0.1389564615384613</v>
      </c>
      <c r="D49" s="20">
        <f>1-D48/假設!$B$19</f>
        <v>0.004414615384615628</v>
      </c>
      <c r="E49" s="20">
        <f>1-E48/假設!$B$19</f>
        <v>0.0898415384615383</v>
      </c>
      <c r="F49" s="6" t="inlineStr">
        <is>
          <t>與 NT$ 目標互相印證</t>
        </is>
      </c>
    </row>
    <row r="50">
      <c r="A50" s="8" t="inlineStr">
        <is>
          <t>＋ 中軸扭力感測器（日本法規必要）</t>
        </is>
      </c>
      <c r="B50" s="8" t="inlineStr">
        <is>
          <t>中系批量 BB 扭力感測（NCTE／Thun 型為售後價）</t>
        </is>
      </c>
      <c r="C50" s="12" t="n">
        <v>28</v>
      </c>
      <c r="D50" s="12" t="n">
        <v>22</v>
      </c>
      <c r="E50" s="12" t="n">
        <v>18</v>
      </c>
      <c r="F50" s="8" t="inlineStr">
        <is>
          <t>BOM 報告附錄 B：中系批量 US$15–40；TCO 模型 US$28。日本助力比 1:2 以人力為分母，踏頻感測無法取證。無書面報價。</t>
        </is>
      </c>
    </row>
    <row r="51">
      <c r="A51" s="8" t="inlineStr">
        <is>
          <t>＋ 控制器升級（扭力／助力比演算法）</t>
        </is>
      </c>
      <c r="B51" s="8" t="inlineStr">
        <is>
          <t>同一控制器加扭力輸入與 1:2→0 線性衰減韌體</t>
        </is>
      </c>
      <c r="C51" s="12" t="n">
        <v>3</v>
      </c>
      <c r="D51" s="12" t="n">
        <v>2.5</v>
      </c>
      <c r="E51" s="12" t="n">
        <v>2</v>
      </c>
      <c r="F51" s="8" t="inlineStr">
        <is>
          <t>估值</t>
        </is>
      </c>
    </row>
    <row r="52">
      <c r="A52" s="8" t="inlineStr">
        <is>
          <t>＋ 日本規配件</t>
        </is>
      </c>
      <c r="B52" s="8" t="inlineStr">
        <is>
          <t>前籃、全鏈罩、両立スタンド、寬泥除、リング錠</t>
        </is>
      </c>
      <c r="C52" s="12" t="n">
        <v>12</v>
      </c>
      <c r="D52" s="12" t="n">
        <v>11</v>
      </c>
      <c r="E52" s="12" t="n">
        <v>10</v>
      </c>
      <c r="F52" s="8" t="inlineStr">
        <is>
          <t>估值；日本媽媽車必要配備</t>
        </is>
      </c>
    </row>
    <row r="53">
      <c r="A53" s="6" t="inlineStr">
        <is>
          <t>＋ 日本型式認定攤提</t>
        </is>
      </c>
      <c r="B53" s="6" t="inlineStr">
        <is>
          <t>＝ 認定費 ÷ USD/JPY ÷ (量級 × 日本占比 × 年數)</t>
        </is>
      </c>
      <c r="C53" s="9">
        <f>假設!$B$23/假設!$B$9/(C$5*假設!$B$26*假設!$B$24)</f>
        <v>0.2668082094833687</v>
      </c>
      <c r="D53" s="9">
        <f>假設!$B$23/假設!$B$9/(D$5*假設!$B$26*假設!$B$24)</f>
        <v>0.08893606982778957</v>
      </c>
      <c r="E53" s="9">
        <f>假設!$B$23/假設!$B$9/(E$5*假設!$B$26*假設!$B$24)</f>
        <v>0.026680820948336872</v>
      </c>
      <c r="F53" s="6" t="inlineStr">
        <is>
          <t>TCO 模型：¥266,000–377,000／型；每個車架 + 模組組合各自取證</t>
        </is>
      </c>
    </row>
    <row r="54">
      <c r="A54" s="14" t="inlineStr">
        <is>
          <t>日本版 BOM（中國廠，不含電池，USD）</t>
        </is>
      </c>
      <c r="B54" s="6" t="inlineStr">
        <is>
          <t>＝ 基礎版 + 增量</t>
        </is>
      </c>
      <c r="C54" s="15">
        <f>C47+SUM(C50:C53)</f>
        <v>248.91172487615</v>
      </c>
      <c r="D54" s="15">
        <f>D47+SUM(D50:D53)</f>
        <v>215.34740829204998</v>
      </c>
      <c r="E54" s="15">
        <f>E47+SUM(E50:E53)</f>
        <v>194.36084748761502</v>
      </c>
      <c r="F54" s="6" t="inlineStr"/>
    </row>
    <row r="55">
      <c r="A55" s="6" t="inlineStr">
        <is>
          <t>日本版 BOM（RMB）</t>
        </is>
      </c>
      <c r="B55" s="6" t="inlineStr">
        <is>
          <t>× USD/RMB</t>
        </is>
      </c>
      <c r="C55" s="18">
        <f>C54*假設!$B$7</f>
        <v>1792.16441910828</v>
      </c>
      <c r="D55" s="18">
        <f>D54*假設!$B$7</f>
        <v>1550.5013397027599</v>
      </c>
      <c r="E55" s="18">
        <f>E54*假設!$B$7</f>
        <v>1399.3981019108282</v>
      </c>
      <c r="F55" s="6" t="inlineStr"/>
    </row>
    <row r="56">
      <c r="A56" s="14" t="inlineStr">
        <is>
          <t>日本版出廠價 @ 目標毛利（RMB，不含電池）</t>
        </is>
      </c>
      <c r="B56" s="6" t="inlineStr">
        <is>
          <t>＝ BOM ÷ (1 − 毛利率)</t>
        </is>
      </c>
      <c r="C56" s="22">
        <f>C55/(1-假設!$B$20)</f>
        <v>1991.2937990092</v>
      </c>
      <c r="D56" s="22">
        <f>D55/(1-假設!$B$20)</f>
        <v>1722.7792663363998</v>
      </c>
      <c r="E56" s="22">
        <f>E55/(1-假設!$B$20)</f>
        <v>1554.8867799009201</v>
      </c>
      <c r="F56" s="6" t="inlineStr">
        <is>
          <t>對 RMB 1,300 的溢出 = 扭力感測 + 日本配件</t>
        </is>
      </c>
    </row>
    <row r="57">
      <c r="A57" s="6" t="inlineStr">
        <is>
          <t>日本版出廠價（JPY）</t>
        </is>
      </c>
      <c r="B57" s="6" t="inlineStr">
        <is>
          <t>× RMB/JPY</t>
        </is>
      </c>
      <c r="C57" s="18">
        <f>C56*假設!$B$11</f>
        <v>43421.26756172838</v>
      </c>
      <c r="D57" s="18">
        <f>D56*假設!$B$11</f>
        <v>37566.159002057604</v>
      </c>
      <c r="E57" s="18">
        <f>E56*假設!$B$11</f>
        <v>33905.17006172839</v>
      </c>
      <c r="F57" s="6" t="inlineStr"/>
    </row>
    <row r="58">
      <c r="A58" s="6" t="inlineStr">
        <is>
          <t>日本版出廠價對 RMB 1,300 溢出比例</t>
        </is>
      </c>
      <c r="B58" s="6" t="inlineStr">
        <is>
          <t>＝ 出廠價 ÷ 目標 − 1</t>
        </is>
      </c>
      <c r="C58" s="21">
        <f>C56/假設!$B$19-1</f>
        <v>0.5317644607763077</v>
      </c>
      <c r="D58" s="21">
        <f>D56/假設!$B$19-1</f>
        <v>0.325214820258769</v>
      </c>
      <c r="E58" s="21">
        <f>E56/假設!$B$19-1</f>
        <v>0.19606675376993854</v>
      </c>
      <c r="F58" s="6" t="inlineStr">
        <is>
          <t>「適度」的量化：扭力感測 + 日本配件約 +15–20%</t>
        </is>
      </c>
    </row>
    <row r="60">
      <c r="A60" s="3" t="inlineStr">
        <is>
          <t>6. 電池規格選項（訂閱資產，不影響出廠價）</t>
        </is>
      </c>
      <c r="B60" s="4" t="n"/>
      <c r="C60" s="4" t="n"/>
      <c r="D60" s="4" t="n"/>
      <c r="E60" s="4" t="n"/>
      <c r="F60" s="4" t="n"/>
    </row>
    <row r="61">
      <c r="A61" s="5" t="inlineStr">
        <is>
          <t>規格</t>
        </is>
      </c>
      <c r="B61" s="5" t="inlineStr">
        <is>
          <t>電芯配置</t>
        </is>
      </c>
      <c r="C61" s="5" t="inlineStr">
        <is>
          <t>10k 台/年</t>
        </is>
      </c>
      <c r="D61" s="5" t="inlineStr">
        <is>
          <t>30k 台/年</t>
        </is>
      </c>
      <c r="E61" s="5" t="inlineStr">
        <is>
          <t>100k 台/年</t>
        </is>
      </c>
      <c r="F61" s="5" t="inlineStr">
        <is>
          <t>用途</t>
        </is>
      </c>
    </row>
    <row r="62">
      <c r="A62" s="6" t="inlineStr">
        <is>
          <t>252Wh（標準）</t>
        </is>
      </c>
      <c r="B62" s="6" t="inlineStr">
        <is>
          <t>10s2p 18650 3.5Ah</t>
        </is>
      </c>
      <c r="C62" s="17">
        <f>C16</f>
        <v>56.0</v>
      </c>
      <c r="D62" s="17">
        <f>D16</f>
        <v>50.0</v>
      </c>
      <c r="E62" s="17">
        <f>E16</f>
        <v>46.0</v>
      </c>
      <c r="F62" s="6" t="inlineStr">
        <is>
          <t>歐洲平地通勤 25 km/日；日本平地都會</t>
        </is>
      </c>
    </row>
    <row r="63">
      <c r="A63" s="6" t="inlineStr">
        <is>
          <t>180Wh（輕量）</t>
        </is>
      </c>
      <c r="B63" s="6" t="inlineStr">
        <is>
          <t>10s1p 21700 5Ah</t>
        </is>
      </c>
      <c r="C63" s="17">
        <f>C16*0.82</f>
        <v>45.919999999999995</v>
      </c>
      <c r="D63" s="17">
        <f>D16*0.82</f>
        <v>41.0</v>
      </c>
      <c r="E63" s="17">
        <f>E16*0.82</f>
        <v>37.72</v>
      </c>
      <c r="F63" s="6" t="inlineStr">
        <is>
          <t>＝ 252Wh × 0.82（電芯數減、殼與 BMS 不變）；短程、可提上樓</t>
        </is>
      </c>
    </row>
    <row r="64">
      <c r="A64" s="6" t="inlineStr">
        <is>
          <t>360Wh（日本坡地／長距離）</t>
        </is>
      </c>
      <c r="B64" s="6" t="inlineStr">
        <is>
          <t>10s2p 21700 5Ah</t>
        </is>
      </c>
      <c r="C64" s="17">
        <f>C16*1.32</f>
        <v>73.92</v>
      </c>
      <c r="D64" s="17">
        <f>D16*1.32</f>
        <v>66.0</v>
      </c>
      <c r="E64" s="17">
        <f>E16*1.32</f>
        <v>60.720000000000006</v>
      </c>
      <c r="F64" s="6" t="inlineStr">
        <is>
          <t>＝ 252Wh × 1.32；日本 1:2 助力比 + 子乗せ需求，對標 Panasonic 12–16Ah/25.2V（302–403Wh）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50" customWidth="1" min="6" max="6"/>
  </cols>
  <sheetData>
    <row r="1">
      <c r="A1" s="1" t="inlineStr">
        <is>
          <t>訂閱單位經濟：車體賣斷 + 電池訂閱（營運商側）</t>
        </is>
      </c>
    </row>
    <row r="2">
      <c r="A2" s="2" t="inlineStr">
        <is>
          <t>資產只有電池 + 充電器；車體由消費者買斷（或經第三方分期／薪資扣抵），營運商帳上不留整車。BOM 取 100k 量級。</t>
        </is>
      </c>
    </row>
    <row r="4">
      <c r="A4" s="3" t="inlineStr">
        <is>
          <t>A. 車體零售定價（消費者購買門檻）</t>
        </is>
      </c>
      <c r="B4" s="4" t="n"/>
      <c r="C4" s="4" t="n"/>
      <c r="D4" s="4" t="n"/>
      <c r="E4" s="4" t="n"/>
      <c r="F4" s="4" t="n"/>
    </row>
    <row r="5">
      <c r="A5" s="5" t="inlineStr">
        <is>
          <t>項目</t>
        </is>
      </c>
      <c r="B5" s="5" t="inlineStr">
        <is>
          <t>歐洲（EUR）</t>
        </is>
      </c>
      <c r="C5" s="5" t="inlineStr">
        <is>
          <t>日本（JPY）</t>
        </is>
      </c>
      <c r="D5" s="5" t="inlineStr"/>
      <c r="E5" s="5" t="inlineStr"/>
      <c r="F5" s="5" t="inlineStr">
        <is>
          <t>公式</t>
        </is>
      </c>
    </row>
    <row r="6">
      <c r="A6" s="6" t="inlineStr">
        <is>
          <t>出廠價（不含電池）</t>
        </is>
      </c>
      <c r="B6" s="23">
        <f>BOM!E38/假設!$B$10</f>
        <v>177.96639231824415</v>
      </c>
      <c r="C6" s="13">
        <f>BOM!E57</f>
        <v>33905.17006172839</v>
      </c>
      <c r="F6" s="6" t="inlineStr">
        <is>
          <t>歐洲：台越廠 NT$ 出廠價 ÷ EUR/NTD；日本：中國廠日本版 JPY</t>
        </is>
      </c>
    </row>
    <row r="7">
      <c r="A7" s="6" t="inlineStr">
        <is>
          <t>關稅</t>
        </is>
      </c>
      <c r="B7" s="17">
        <f>B6*假設!$B$30</f>
        <v>10.67798353909465</v>
      </c>
      <c r="C7" s="18">
        <f>C6*假設!$B$50</f>
        <v>0.0</v>
      </c>
      <c r="F7" s="6" t="inlineStr">
        <is>
          <t>假設表</t>
        </is>
      </c>
    </row>
    <row r="8">
      <c r="A8" s="6" t="inlineStr">
        <is>
          <t>海運 + 內陸物流</t>
        </is>
      </c>
      <c r="B8" s="17">
        <f>假設!$B$31/假設!$B$8</f>
        <v>27.777777777777775</v>
      </c>
      <c r="C8" s="18">
        <f>假設!$B$51</f>
        <v>2500.0</v>
      </c>
      <c r="F8" s="6" t="inlineStr">
        <is>
          <t>假設表</t>
        </is>
      </c>
    </row>
    <row r="9">
      <c r="A9" s="6" t="inlineStr">
        <is>
          <t>落地成本</t>
        </is>
      </c>
      <c r="B9" s="15">
        <f>SUM(B6:B8)</f>
        <v>216.42215363511656</v>
      </c>
      <c r="C9" s="19">
        <f>SUM(C6:C8)</f>
        <v>36405.17006172839</v>
      </c>
      <c r="F9" s="6" t="inlineStr"/>
    </row>
    <row r="10">
      <c r="A10" s="14" t="inlineStr">
        <is>
          <t>車體零售價（含稅）</t>
        </is>
      </c>
      <c r="B10" s="22">
        <f>B9/(1-假設!$B$32)*(1+假設!$B$33)</f>
        <v>396.2190197319826</v>
      </c>
      <c r="C10" s="22">
        <f>C9/(1-假設!$B$52)*(1+假設!$B$53)</f>
        <v>61608.74933523267</v>
      </c>
      <c r="F10" s="6" t="inlineStr">
        <is>
          <t>＝ 落地 ÷ (1 − 毛利率) × (1 + 稅)</t>
        </is>
      </c>
    </row>
    <row r="11">
      <c r="A11" s="6" t="inlineStr">
        <is>
          <t>對照：市場最低價合法 e-bike 買斷（含電池）</t>
        </is>
      </c>
      <c r="B11" s="10" t="n">
        <v>699</v>
      </c>
      <c r="C11" s="10" t="n">
        <v>89980</v>
      </c>
      <c r="F11" s="6" t="inlineStr">
        <is>
          <t>歐洲 Action E200 / Lidl Crivit €699；日本 PELTECH ¥89,980 起（2026）</t>
        </is>
      </c>
    </row>
    <row r="12">
      <c r="A12" s="6" t="inlineStr">
        <is>
          <t>購買門檻降幅</t>
        </is>
      </c>
      <c r="B12" s="24">
        <f>1-B10/B11</f>
        <v>0.43316306189988185</v>
      </c>
      <c r="C12" s="24">
        <f>1-C10/C11</f>
        <v>0.3153061865388679</v>
      </c>
      <c r="F12" s="6" t="inlineStr">
        <is>
          <t>前置支出相對最低價買斷的減幅</t>
        </is>
      </c>
    </row>
    <row r="14">
      <c r="A14" s="3" t="inlineStr">
        <is>
          <t>B. 電池訂閱資產（每戶）</t>
        </is>
      </c>
      <c r="B14" s="4" t="n"/>
      <c r="C14" s="4" t="n"/>
      <c r="D14" s="4" t="n"/>
      <c r="E14" s="4" t="n"/>
      <c r="F14" s="4" t="n"/>
    </row>
    <row r="15">
      <c r="A15" s="5" t="inlineStr">
        <is>
          <t>項目</t>
        </is>
      </c>
      <c r="B15" s="5" t="inlineStr">
        <is>
          <t>歐洲（EUR）</t>
        </is>
      </c>
      <c r="C15" s="5" t="inlineStr">
        <is>
          <t>日本（JPY）</t>
        </is>
      </c>
      <c r="D15" s="5" t="inlineStr"/>
      <c r="E15" s="5" t="inlineStr"/>
      <c r="F15" s="5" t="inlineStr">
        <is>
          <t>公式</t>
        </is>
      </c>
    </row>
    <row r="16">
      <c r="A16" s="6" t="inlineStr">
        <is>
          <t>電池 + 充電器 BOM（USD，100k）</t>
        </is>
      </c>
      <c r="B16" s="23">
        <f>BOM!E18</f>
        <v>53.0</v>
      </c>
      <c r="C16" s="23">
        <f>BOM!E64+BOM!E17</f>
        <v>67.72</v>
      </c>
      <c r="F16" s="6" t="inlineStr">
        <is>
          <t>歐洲 252Wh；日本以 360Wh 計（保守）</t>
        </is>
      </c>
    </row>
    <row r="17">
      <c r="A17" s="6" t="inlineStr">
        <is>
          <t>電池資產落地成本（當地幣）</t>
        </is>
      </c>
      <c r="B17" s="17">
        <f>B16/假設!$B$8*(1+假設!$B$30)+假設!$B$31/假設!$B$8*0.2</f>
        <v>57.574074074074076</v>
      </c>
      <c r="C17" s="18">
        <f>C16*假設!$B$9*(1+假設!$B$50)+假設!$B$51*0.2</f>
        <v>11132.039999999999</v>
      </c>
      <c r="F17" s="6" t="inlineStr">
        <is>
          <t>隨車出貨，物流按整車 20% 分攤</t>
        </is>
      </c>
    </row>
    <row r="18">
      <c r="A18" s="6" t="inlineStr">
        <is>
          <t>電池更換成本（料 + 經銷點物流）</t>
        </is>
      </c>
      <c r="B18" s="17">
        <f>B17+假設!$B$40</f>
        <v>87.57407407407408</v>
      </c>
      <c r="C18" s="18">
        <f>C17+假設!$B$60</f>
        <v>14132.039999999999</v>
      </c>
      <c r="F18" s="6" t="inlineStr">
        <is>
          <t>UN3480：不走一般快遞，走經銷／回收點</t>
        </is>
      </c>
    </row>
    <row r="19">
      <c r="A19" s="6" t="inlineStr">
        <is>
          <t>每月電池更換攤提</t>
        </is>
      </c>
      <c r="B19" s="9">
        <f>B18/假設!$B$39</f>
        <v>1.8244598765432098</v>
      </c>
      <c r="C19" s="18">
        <f>C18/假設!$B$59</f>
        <v>294.41749999999996</v>
      </c>
      <c r="F19" s="6" t="inlineStr">
        <is>
          <t>＝ 更換成本 ÷ 更換週期</t>
        </is>
      </c>
    </row>
    <row r="21">
      <c r="A21" s="3" t="inlineStr">
        <is>
          <t>C. 歐洲：每戶每月損益（EUR）</t>
        </is>
      </c>
      <c r="B21" s="4" t="n"/>
      <c r="C21" s="4" t="n"/>
      <c r="D21" s="4" t="n"/>
      <c r="E21" s="4" t="n"/>
      <c r="F21" s="4" t="n"/>
    </row>
    <row r="22">
      <c r="A22" s="5" t="inlineStr">
        <is>
          <t>項目</t>
        </is>
      </c>
      <c r="B22" s="5" t="inlineStr">
        <is>
          <t>月費 €7.9</t>
        </is>
      </c>
      <c r="C22" s="5" t="inlineStr">
        <is>
          <t>月費 €9.9</t>
        </is>
      </c>
      <c r="D22" s="5" t="inlineStr">
        <is>
          <t>月費 €12.9</t>
        </is>
      </c>
      <c r="E22" s="5" t="inlineStr">
        <is>
          <t>月費 €14.9</t>
        </is>
      </c>
      <c r="F22" s="5" t="inlineStr">
        <is>
          <t>公式</t>
        </is>
      </c>
    </row>
    <row r="23">
      <c r="A23" s="6" t="inlineStr">
        <is>
          <t>月費（含稅）</t>
        </is>
      </c>
      <c r="B23" s="7" t="n">
        <v>7.9</v>
      </c>
      <c r="C23" s="7" t="n">
        <v>9.9</v>
      </c>
      <c r="D23" s="7" t="n">
        <v>12.9</v>
      </c>
      <c r="E23" s="7" t="n">
        <v>14.9</v>
      </c>
      <c r="F23" s="6" t="inlineStr">
        <is>
          <t>情境輸入</t>
        </is>
      </c>
    </row>
    <row r="24">
      <c r="A24" s="6" t="inlineStr">
        <is>
          <t>淨營收（除 VAT）</t>
        </is>
      </c>
      <c r="B24" s="9">
        <f>B23/(1+假設!$B$33)</f>
        <v>6.638655462184874</v>
      </c>
      <c r="C24" s="9">
        <f>C23/(1+假設!$B$33)</f>
        <v>8.319327731092438</v>
      </c>
      <c r="D24" s="9">
        <f>D23/(1+假設!$B$33)</f>
        <v>10.840336134453782</v>
      </c>
      <c r="E24" s="9">
        <f>E23/(1+假設!$B$33)</f>
        <v>12.521008403361346</v>
      </c>
      <c r="F24" s="6" t="inlineStr"/>
    </row>
    <row r="25">
      <c r="A25" s="6" t="inlineStr">
        <is>
          <t>減：呆帳 + 金流</t>
        </is>
      </c>
      <c r="B25" s="9">
        <f>-B24*(假設!$B$34+假設!$B$35)</f>
        <v>-0.49789915966386566</v>
      </c>
      <c r="C25" s="9">
        <f>-C24*(假設!$B$34+假設!$B$35)</f>
        <v>-0.6239495798319329</v>
      </c>
      <c r="D25" s="9">
        <f>-D24*(假設!$B$34+假設!$B$35)</f>
        <v>-0.8130252100840337</v>
      </c>
      <c r="E25" s="9">
        <f>-E24*(假設!$B$34+假設!$B$35)</f>
        <v>-0.9390756302521011</v>
      </c>
      <c r="F25" s="6" t="inlineStr"/>
    </row>
    <row r="26">
      <c r="A26" s="6" t="inlineStr">
        <is>
          <t>減：維修／物流 + 失竊補償 + 雲端</t>
        </is>
      </c>
      <c r="B26" s="9">
        <f>-(假設!$B$36+假設!$B$37+假設!$B$38)</f>
        <v>-1.5</v>
      </c>
      <c r="C26" s="9">
        <f>-(假設!$B$36+假設!$B$37+假設!$B$38)</f>
        <v>-1.5</v>
      </c>
      <c r="D26" s="9">
        <f>-(假設!$B$36+假設!$B$37+假設!$B$38)</f>
        <v>-1.5</v>
      </c>
      <c r="E26" s="9">
        <f>-(假設!$B$36+假設!$B$37+假設!$B$38)</f>
        <v>-1.5</v>
      </c>
      <c r="F26" s="6" t="inlineStr"/>
    </row>
    <row r="27">
      <c r="A27" s="6" t="inlineStr">
        <is>
          <t>減：電池更換攤提</t>
        </is>
      </c>
      <c r="B27" s="9">
        <f>-B19</f>
        <v>-1.8244598765432098</v>
      </c>
      <c r="C27" s="9">
        <f>-B19</f>
        <v>-1.8244598765432098</v>
      </c>
      <c r="D27" s="9">
        <f>-B19</f>
        <v>-1.8244598765432098</v>
      </c>
      <c r="E27" s="9">
        <f>-B19</f>
        <v>-1.8244598765432098</v>
      </c>
      <c r="F27" s="6" t="inlineStr"/>
    </row>
    <row r="28">
      <c r="A28" s="14" t="inlineStr">
        <is>
          <t>每戶月貢獻</t>
        </is>
      </c>
      <c r="B28" s="25">
        <f>SUM(B24:B27)</f>
        <v>2.816296425977799</v>
      </c>
      <c r="C28" s="25">
        <f>SUM(C24:C27)</f>
        <v>4.370918274717295</v>
      </c>
      <c r="D28" s="25">
        <f>SUM(D24:D27)</f>
        <v>6.702851047826539</v>
      </c>
      <c r="E28" s="25">
        <f>SUM(E24:E27)</f>
        <v>8.257472896566034</v>
      </c>
      <c r="F28" s="6" t="inlineStr"/>
    </row>
    <row r="29">
      <c r="A29" s="6" t="inlineStr">
        <is>
          <t>資產回收期（月）</t>
        </is>
      </c>
      <c r="B29" s="17">
        <f>IF(B28&gt;0,B17/B28,999)</f>
        <v>20.443186854553048</v>
      </c>
      <c r="C29" s="17">
        <f>IF(C28&gt;0,B17/C28,999)</f>
        <v>13.172077457293089</v>
      </c>
      <c r="D29" s="17">
        <f>IF(D28&gt;0,B17/D28,999)</f>
        <v>8.589490302450178</v>
      </c>
      <c r="E29" s="17">
        <f>IF(E28&gt;0,B17/E28,999)</f>
        <v>6.972360042261468</v>
      </c>
      <c r="F29" s="6" t="inlineStr">
        <is>
          <t>＝ 電池資產 ÷ 月貢獻</t>
        </is>
      </c>
    </row>
    <row r="30">
      <c r="A30" s="6" t="inlineStr">
        <is>
          <t>訂閱壽命內累計貢獻</t>
        </is>
      </c>
      <c r="B30" s="17">
        <f>B28*假設!$B$41</f>
        <v>101.38667133520077</v>
      </c>
      <c r="C30" s="17">
        <f>C28*假設!$B$41</f>
        <v>157.35305788982262</v>
      </c>
      <c r="D30" s="17">
        <f>D28*假設!$B$41</f>
        <v>241.30263772175542</v>
      </c>
      <c r="E30" s="17">
        <f>E28*假設!$B$41</f>
        <v>297.2690242763772</v>
      </c>
      <c r="F30" s="6" t="inlineStr"/>
    </row>
    <row r="31">
      <c r="A31" s="14" t="inlineStr">
        <is>
          <t>單戶淨值（累計貢獻 + 殘值 − 資產 − CAC）</t>
        </is>
      </c>
      <c r="B31" s="16">
        <f>B30+B17*假設!$B$43-B17-假設!$B$42</f>
        <v>22.448708372237803</v>
      </c>
      <c r="C31" s="16">
        <f>C30+B17*假設!$B$43-B17-假設!$B$42</f>
        <v>78.41509492685967</v>
      </c>
      <c r="D31" s="16">
        <f>D30+B17*假設!$B$43-B17-假設!$B$42</f>
        <v>162.36467475879246</v>
      </c>
      <c r="E31" s="16">
        <f>E30+B17*假設!$B$43-B17-假設!$B$42</f>
        <v>218.33106131341424</v>
      </c>
      <c r="F31" s="6" t="inlineStr">
        <is>
          <t>對照 TCO 模型三電全訂閱 €15/月：−€70</t>
        </is>
      </c>
    </row>
    <row r="32">
      <c r="A32" s="6" t="inlineStr">
        <is>
          <t>損益兩平月費（含稅）</t>
        </is>
      </c>
      <c r="B32" s="9">
        <f>((假設!$B$36+假設!$B$37+假設!$B$38+B19)+(B17*(1-假設!$B$43)+假設!$B$42)/假設!$B$41)/(1-假設!$B$34-假設!$B$35)*(1+假設!$B$33)</f>
        <v>7.097778890001112</v>
      </c>
      <c r="C32" s="9">
        <f>((假設!$B$36+假設!$B$37+假設!$B$38+B19)+(B17*(1-假設!$B$43)+假設!$B$42)/假設!$B$41)/(1-假設!$B$34-假設!$B$35)*(1+假設!$B$33)</f>
        <v>7.097778890001112</v>
      </c>
      <c r="D32" s="9">
        <f>((假設!$B$36+假設!$B$37+假設!$B$38+B19)+(B17*(1-假設!$B$43)+假設!$B$42)/假設!$B$41)/(1-假設!$B$34-假設!$B$35)*(1+假設!$B$33)</f>
        <v>7.097778890001112</v>
      </c>
      <c r="E32" s="9">
        <f>((假設!$B$36+假設!$B$37+假設!$B$38+B19)+(B17*(1-假設!$B$43)+假設!$B$42)/假設!$B$41)/(1-假設!$B$34-假設!$B$35)*(1+假設!$B$33)</f>
        <v>7.097778890001112</v>
      </c>
      <c r="F32" s="6" t="inlineStr">
        <is>
          <t>單戶淨值 = 0 的月費（各欄相同）</t>
        </is>
      </c>
    </row>
    <row r="34">
      <c r="A34" s="3" t="inlineStr">
        <is>
          <t>D. 日本：每戶每月損益（JPY）</t>
        </is>
      </c>
      <c r="B34" s="4" t="n"/>
      <c r="C34" s="4" t="n"/>
      <c r="D34" s="4" t="n"/>
      <c r="E34" s="4" t="n"/>
      <c r="F34" s="4" t="n"/>
    </row>
    <row r="35">
      <c r="A35" s="5" t="inlineStr">
        <is>
          <t>項目</t>
        </is>
      </c>
      <c r="B35" s="5" t="inlineStr">
        <is>
          <t>月費 ¥980</t>
        </is>
      </c>
      <c r="C35" s="5" t="inlineStr">
        <is>
          <t>月費 ¥1,280</t>
        </is>
      </c>
      <c r="D35" s="5" t="inlineStr">
        <is>
          <t>月費 ¥1,680</t>
        </is>
      </c>
      <c r="E35" s="5" t="inlineStr">
        <is>
          <t>月費 ¥1,980</t>
        </is>
      </c>
      <c r="F35" s="5" t="inlineStr">
        <is>
          <t>公式</t>
        </is>
      </c>
    </row>
    <row r="36">
      <c r="A36" s="6" t="inlineStr">
        <is>
          <t>月費（含稅）</t>
        </is>
      </c>
      <c r="B36" s="10" t="n">
        <v>980</v>
      </c>
      <c r="C36" s="10" t="n">
        <v>1280</v>
      </c>
      <c r="D36" s="10" t="n">
        <v>1680</v>
      </c>
      <c r="E36" s="10" t="n">
        <v>1980</v>
      </c>
      <c r="F36" s="6" t="inlineStr">
        <is>
          <t>情境輸入；NORUDE 整車訂閱 ¥2,890 起</t>
        </is>
      </c>
    </row>
    <row r="37">
      <c r="A37" s="6" t="inlineStr">
        <is>
          <t>淨營收（除消費稅）</t>
        </is>
      </c>
      <c r="B37" s="18">
        <f>B36/(1+假設!$B$53)</f>
        <v>890.9090909090909</v>
      </c>
      <c r="C37" s="18">
        <f>C36/(1+假設!$B$53)</f>
        <v>1163.6363636363635</v>
      </c>
      <c r="D37" s="18">
        <f>D36/(1+假設!$B$53)</f>
        <v>1527.2727272727273</v>
      </c>
      <c r="E37" s="18">
        <f>E36/(1+假設!$B$53)</f>
        <v>1799.9999999999998</v>
      </c>
      <c r="F37" s="6" t="inlineStr"/>
    </row>
    <row r="38">
      <c r="A38" s="6" t="inlineStr">
        <is>
          <t>減：呆帳 + 金流</t>
        </is>
      </c>
      <c r="B38" s="18">
        <f>-B37*(假設!$B$54+假設!$B$55)</f>
        <v>-57.90909090909091</v>
      </c>
      <c r="C38" s="18">
        <f>-C37*(假設!$B$54+假設!$B$55)</f>
        <v>-75.63636363636363</v>
      </c>
      <c r="D38" s="18">
        <f>-D37*(假設!$B$54+假設!$B$55)</f>
        <v>-99.27272727272728</v>
      </c>
      <c r="E38" s="18">
        <f>-E37*(假設!$B$54+假設!$B$55)</f>
        <v>-116.99999999999999</v>
      </c>
      <c r="F38" s="6" t="inlineStr"/>
    </row>
    <row r="39">
      <c r="A39" s="6" t="inlineStr">
        <is>
          <t>減：維修／物流 + 失竊補償 + 雲端</t>
        </is>
      </c>
      <c r="B39" s="18">
        <f>-(假設!$B$56+假設!$B$57+假設!$B$58)</f>
        <v>-240.0</v>
      </c>
      <c r="C39" s="18">
        <f>-(假設!$B$56+假設!$B$57+假設!$B$58)</f>
        <v>-240.0</v>
      </c>
      <c r="D39" s="18">
        <f>-(假設!$B$56+假設!$B$57+假設!$B$58)</f>
        <v>-240.0</v>
      </c>
      <c r="E39" s="18">
        <f>-(假設!$B$56+假設!$B$57+假設!$B$58)</f>
        <v>-240.0</v>
      </c>
      <c r="F39" s="6" t="inlineStr"/>
    </row>
    <row r="40">
      <c r="A40" s="6" t="inlineStr">
        <is>
          <t>減：電池更換攤提（360Wh）</t>
        </is>
      </c>
      <c r="B40" s="18">
        <f>-C19</f>
        <v>-294.41749999999996</v>
      </c>
      <c r="C40" s="18">
        <f>-C19</f>
        <v>-294.41749999999996</v>
      </c>
      <c r="D40" s="18">
        <f>-C19</f>
        <v>-294.41749999999996</v>
      </c>
      <c r="E40" s="18">
        <f>-C19</f>
        <v>-294.41749999999996</v>
      </c>
      <c r="F40" s="6" t="inlineStr"/>
    </row>
    <row r="41">
      <c r="A41" s="14" t="inlineStr">
        <is>
          <t>每戶月貢獻</t>
        </is>
      </c>
      <c r="B41" s="22">
        <f>SUM(B37:B40)</f>
        <v>298.58250000000004</v>
      </c>
      <c r="C41" s="22">
        <f>SUM(C37:C40)</f>
        <v>553.5825</v>
      </c>
      <c r="D41" s="22">
        <f>SUM(D37:D40)</f>
        <v>893.5825</v>
      </c>
      <c r="E41" s="22">
        <f>SUM(E37:E40)</f>
        <v>1148.5824999999998</v>
      </c>
      <c r="F41" s="6" t="inlineStr"/>
    </row>
    <row r="42">
      <c r="A42" s="6" t="inlineStr">
        <is>
          <t>資產回收期（月）</t>
        </is>
      </c>
      <c r="B42" s="17">
        <f>IF(B41&gt;0,C17/B41,999)</f>
        <v>37.282961995428394</v>
      </c>
      <c r="C42" s="17">
        <f>IF(C41&gt;0,C17/C41,999)</f>
        <v>20.1090894311146</v>
      </c>
      <c r="D42" s="17">
        <f>IF(D41&gt;0,C17/D41,999)</f>
        <v>12.457764112435058</v>
      </c>
      <c r="E42" s="17">
        <f>IF(E41&gt;0,C17/E41,999)</f>
        <v>9.69198120291751</v>
      </c>
      <c r="F42" s="6" t="inlineStr"/>
    </row>
    <row r="43">
      <c r="A43" s="6" t="inlineStr">
        <is>
          <t>訂閱壽命內累計貢獻</t>
        </is>
      </c>
      <c r="B43" s="18">
        <f>B41*假設!$B$61</f>
        <v>10748.970000000001</v>
      </c>
      <c r="C43" s="18">
        <f>C41*假設!$B$61</f>
        <v>19928.97</v>
      </c>
      <c r="D43" s="18">
        <f>D41*假設!$B$61</f>
        <v>32168.97</v>
      </c>
      <c r="E43" s="18">
        <f>E41*假設!$B$61</f>
        <v>41348.969999999994</v>
      </c>
      <c r="F43" s="6" t="inlineStr"/>
    </row>
    <row r="44">
      <c r="A44" s="14" t="inlineStr">
        <is>
          <t>單戶淨值（累計貢獻 + 殘值 − 資產 − CAC）</t>
        </is>
      </c>
      <c r="B44" s="22">
        <f>B43+C17*假設!$B$63-C17-假設!$B$62</f>
        <v>-3713.2639999999974</v>
      </c>
      <c r="C44" s="22">
        <f>C43+C17*假設!$B$63-C17-假設!$B$62</f>
        <v>5466.736000000003</v>
      </c>
      <c r="D44" s="22">
        <f>D43+C17*假設!$B$63-C17-假設!$B$62</f>
        <v>17706.735999999997</v>
      </c>
      <c r="E44" s="22">
        <f>E43+C17*假設!$B$63-C17-假設!$B$62</f>
        <v>26886.73599999999</v>
      </c>
      <c r="F44" s="6" t="inlineStr"/>
    </row>
    <row r="45">
      <c r="A45" s="6" t="inlineStr">
        <is>
          <t>損益兩平月費（含稅）</t>
        </is>
      </c>
      <c r="B45" s="18">
        <f>((假設!$B$56+假設!$B$57+假設!$B$58+C19)+(C17*(1-假設!$B$63)+假設!$B$62)/假設!$B$61)/(1-假設!$B$54-假設!$B$55)*(1+假設!$B$53)</f>
        <v>1101.3484967320262</v>
      </c>
      <c r="C45" s="18">
        <f>((假設!$B$56+假設!$B$57+假設!$B$58+C19)+(C17*(1-假設!$B$63)+假設!$B$62)/假設!$B$61)/(1-假設!$B$54-假設!$B$55)*(1+假設!$B$53)</f>
        <v>1101.3484967320262</v>
      </c>
      <c r="D45" s="18">
        <f>((假設!$B$56+假設!$B$57+假設!$B$58+C19)+(C17*(1-假設!$B$63)+假設!$B$62)/假設!$B$61)/(1-假設!$B$54-假設!$B$55)*(1+假設!$B$53)</f>
        <v>1101.3484967320262</v>
      </c>
      <c r="E45" s="18">
        <f>((假設!$B$56+假設!$B$57+假設!$B$58+C19)+(C17*(1-假設!$B$63)+假設!$B$62)/假設!$B$61)/(1-假設!$B$54-假設!$B$55)*(1+假設!$B$53)</f>
        <v>1101.3484967320262</v>
      </c>
      <c r="F45" s="6" t="inlineStr"/>
    </row>
    <row r="47">
      <c r="A47" s="3" t="inlineStr">
        <is>
          <t>E. 車隊電池資本需求（歐洲，€，月費 €9.9）</t>
        </is>
      </c>
      <c r="B47" s="4" t="n"/>
      <c r="C47" s="4" t="n"/>
      <c r="D47" s="4" t="n"/>
      <c r="E47" s="4" t="n"/>
      <c r="F47" s="4" t="n"/>
    </row>
    <row r="48">
      <c r="A48" s="5" t="inlineStr">
        <is>
          <t>在訂戶數</t>
        </is>
      </c>
      <c r="B48" s="5" t="inlineStr">
        <is>
          <t>電池資產（€M）</t>
        </is>
      </c>
      <c r="C48" s="5" t="inlineStr">
        <is>
          <t>年訂閱營收（€M）</t>
        </is>
      </c>
      <c r="D48" s="5" t="inlineStr">
        <is>
          <t>資產 ÷ 年營收</t>
        </is>
      </c>
      <c r="E48" s="5" t="inlineStr">
        <is>
          <t>對照：三電全訂閱資產（€M）</t>
        </is>
      </c>
      <c r="F48" s="5" t="inlineStr">
        <is>
          <t>說明</t>
        </is>
      </c>
    </row>
    <row r="49">
      <c r="A49" s="10" t="n">
        <v>10000</v>
      </c>
      <c r="B49" s="9">
        <f>A49*B17/1000000</f>
        <v>0.5757407407407408</v>
      </c>
      <c r="C49" s="9">
        <f>A49*C23*12/1000000</f>
        <v>1.188</v>
      </c>
      <c r="D49" s="9">
        <f>B49/C49</f>
        <v>0.48463025314877173</v>
      </c>
      <c r="E49" s="9">
        <f>A49*假設!$B$46/1000000</f>
        <v>2.043</v>
      </c>
      <c r="F49" s="8" t="inlineStr">
        <is>
          <t>TCO 模型三電資產 €204.3/戶 vs 本案僅電池</t>
        </is>
      </c>
    </row>
    <row r="50">
      <c r="A50" s="10" t="n">
        <v>50000</v>
      </c>
      <c r="B50" s="9">
        <f>A50*B17/1000000</f>
        <v>2.878703703703704</v>
      </c>
      <c r="C50" s="9">
        <f>A50*C23*12/1000000</f>
        <v>5.94</v>
      </c>
      <c r="D50" s="9">
        <f>B50/C50</f>
        <v>0.4846302531487717</v>
      </c>
      <c r="E50" s="9">
        <f>A50*假設!$B$46/1000000</f>
        <v>10.215</v>
      </c>
      <c r="F50" s="8" t="inlineStr">
        <is>
          <t>TCO 模型三電資產 €204.3/戶 vs 本案僅電池</t>
        </is>
      </c>
    </row>
    <row r="51">
      <c r="A51" s="10" t="n">
        <v>100000</v>
      </c>
      <c r="B51" s="9">
        <f>A51*B17/1000000</f>
        <v>5.757407407407408</v>
      </c>
      <c r="C51" s="9">
        <f>A51*C23*12/1000000</f>
        <v>11.88</v>
      </c>
      <c r="D51" s="9">
        <f>B51/C51</f>
        <v>0.4846302531487717</v>
      </c>
      <c r="E51" s="9">
        <f>A51*假設!$B$46/1000000</f>
        <v>20.43</v>
      </c>
      <c r="F51" s="8" t="inlineStr">
        <is>
          <t>TCO 模型三電資產 €204.3/戶 vs 本案僅電池</t>
        </is>
      </c>
    </row>
    <row r="52">
      <c r="A52" s="10" t="n">
        <v>300000</v>
      </c>
      <c r="B52" s="9">
        <f>A52*B17/1000000</f>
        <v>17.272222222222222</v>
      </c>
      <c r="C52" s="9">
        <f>A52*C23*12/1000000</f>
        <v>35.64</v>
      </c>
      <c r="D52" s="9">
        <f>B52/C52</f>
        <v>0.4846302531487717</v>
      </c>
      <c r="E52" s="9">
        <f>A52*假設!$B$46/1000000</f>
        <v>61.29</v>
      </c>
      <c r="F52" s="8" t="inlineStr">
        <is>
          <t>TCO 模型三電資產 €204.3/戶 vs 本案僅電池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0" customWidth="1" min="8" max="8"/>
  </cols>
  <sheetData>
    <row r="1">
      <c r="A1" s="1" t="inlineStr">
        <is>
          <t>消費者總持有成本（含稅）</t>
        </is>
      </c>
    </row>
    <row r="2">
      <c r="A2" s="2" t="inlineStr">
        <is>
          <t>本案 = 車體買斷 + 電池月費（含電池更換、失竊補償）。買斷方案另加年維護與第 4／8 年換電池。</t>
        </is>
      </c>
    </row>
    <row r="4">
      <c r="A4" s="3" t="inlineStr">
        <is>
          <t>A. 歐洲（EUR）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方案</t>
        </is>
      </c>
      <c r="B5" s="5" t="inlineStr">
        <is>
          <t>前置費用</t>
        </is>
      </c>
      <c r="C5" s="5" t="inlineStr">
        <is>
          <t>月費</t>
        </is>
      </c>
      <c r="D5" s="5" t="inlineStr">
        <is>
          <t>2 年</t>
        </is>
      </c>
      <c r="E5" s="5" t="inlineStr">
        <is>
          <t>3 年</t>
        </is>
      </c>
      <c r="F5" s="5" t="inlineStr">
        <is>
          <t>5 年</t>
        </is>
      </c>
      <c r="G5" s="5" t="inlineStr">
        <is>
          <t>8 年</t>
        </is>
      </c>
      <c r="H5" s="5" t="inlineStr">
        <is>
          <t>說明</t>
        </is>
      </c>
    </row>
    <row r="6">
      <c r="A6" s="6" t="inlineStr">
        <is>
          <t>本案：車體買斷 + €7.9/月電池訂閱</t>
        </is>
      </c>
      <c r="B6" s="13">
        <f>訂閱單位經濟!B10</f>
        <v>396.2190197319826</v>
      </c>
      <c r="C6" s="7" t="n">
        <v>7.9</v>
      </c>
      <c r="D6" s="18">
        <f>$B6+$C6*12*2</f>
        <v>585.8190197319826</v>
      </c>
      <c r="E6" s="18">
        <f>$B6+$C6*12*3</f>
        <v>680.6190197319827</v>
      </c>
      <c r="F6" s="18">
        <f>$B6+$C6*12*5</f>
        <v>870.2190197319826</v>
      </c>
      <c r="G6" s="18">
        <f>$B6+$C6*12*8</f>
        <v>1154.6190197319827</v>
      </c>
      <c r="H6" s="8" t="inlineStr">
        <is>
          <t>含電池更換與失竊補償；車體歸消費者</t>
        </is>
      </c>
    </row>
    <row r="7">
      <c r="A7" s="6" t="inlineStr">
        <is>
          <t>本案：車體買斷 + €9.9/月電池訂閱</t>
        </is>
      </c>
      <c r="B7" s="13">
        <f>訂閱單位經濟!B10</f>
        <v>396.2190197319826</v>
      </c>
      <c r="C7" s="7" t="n">
        <v>9.9</v>
      </c>
      <c r="D7" s="18">
        <f>$B7+$C7*12*2</f>
        <v>633.8190197319826</v>
      </c>
      <c r="E7" s="18">
        <f>$B7+$C7*12*3</f>
        <v>752.6190197319827</v>
      </c>
      <c r="F7" s="18">
        <f>$B7+$C7*12*5</f>
        <v>990.2190197319826</v>
      </c>
      <c r="G7" s="18">
        <f>$B7+$C7*12*8</f>
        <v>1346.6190197319827</v>
      </c>
      <c r="H7" s="8" t="inlineStr">
        <is>
          <t>含電池更換與失竊補償；車體歸消費者</t>
        </is>
      </c>
    </row>
    <row r="8">
      <c r="A8" s="6" t="inlineStr">
        <is>
          <t>本案：車體買斷 + €12.9/月電池訂閱</t>
        </is>
      </c>
      <c r="B8" s="13">
        <f>訂閱單位經濟!B10</f>
        <v>396.2190197319826</v>
      </c>
      <c r="C8" s="7" t="n">
        <v>12.9</v>
      </c>
      <c r="D8" s="18">
        <f>$B8+$C8*12*2</f>
        <v>705.8190197319826</v>
      </c>
      <c r="E8" s="18">
        <f>$B8+$C8*12*3</f>
        <v>860.6190197319827</v>
      </c>
      <c r="F8" s="18">
        <f>$B8+$C8*12*5</f>
        <v>1170.2190197319826</v>
      </c>
      <c r="G8" s="18">
        <f>$B8+$C8*12*8</f>
        <v>1634.6190197319827</v>
      </c>
      <c r="H8" s="8" t="inlineStr">
        <is>
          <t>含電池更換與失竊補償；車體歸消費者</t>
        </is>
      </c>
    </row>
    <row r="9">
      <c r="A9" s="6" t="inlineStr">
        <is>
          <t>本案：車體買斷 + €14.9/月電池訂閱</t>
        </is>
      </c>
      <c r="B9" s="13">
        <f>訂閱單位經濟!B10</f>
        <v>396.2190197319826</v>
      </c>
      <c r="C9" s="7" t="n">
        <v>14.9</v>
      </c>
      <c r="D9" s="18">
        <f>$B9+$C9*12*2</f>
        <v>753.8190197319826</v>
      </c>
      <c r="E9" s="18">
        <f>$B9+$C9*12*3</f>
        <v>932.6190197319827</v>
      </c>
      <c r="F9" s="18">
        <f>$B9+$C9*12*5</f>
        <v>1290.2190197319826</v>
      </c>
      <c r="G9" s="18">
        <f>$B9+$C9*12*8</f>
        <v>1826.6190197319827</v>
      </c>
      <c r="H9" s="8" t="inlineStr">
        <is>
          <t>含電池更換與失竊補償；車體歸消費者</t>
        </is>
      </c>
    </row>
    <row r="10">
      <c r="A10" s="6" t="inlineStr">
        <is>
          <t>Action E200 買斷（€699，歐盟最低價合法 EPAC）</t>
        </is>
      </c>
      <c r="B10" s="10" t="n">
        <v>699</v>
      </c>
      <c r="C10" s="7" t="n">
        <v>0</v>
      </c>
      <c r="D10" s="18">
        <f>$B10+假設!$B$44*2+IF(2&gt;=4,假設!$B$45,0)+IF(2&gt;=8,假設!$B$45,0)</f>
        <v>799.0</v>
      </c>
      <c r="E10" s="18">
        <f>$B10+假設!$B$44*3+IF(3&gt;=4,假設!$B$45,0)+IF(3&gt;=8,假設!$B$45,0)</f>
        <v>849.0</v>
      </c>
      <c r="F10" s="18">
        <f>$B10+假設!$B$44*5+IF(5&gt;=4,假設!$B$45,0)+IF(5&gt;=8,假設!$B$45,0)</f>
        <v>1199.0</v>
      </c>
      <c r="G10" s="18">
        <f>$B10+假設!$B$44*8+IF(8&gt;=4,假設!$B$45,0)+IF(8&gt;=8,假設!$B$45,0)</f>
        <v>1599.0</v>
      </c>
      <c r="H10" s="8" t="inlineStr">
        <is>
          <t>468Wh、7 速、25.2kg</t>
        </is>
      </c>
    </row>
    <row r="11">
      <c r="A11" s="6" t="inlineStr">
        <is>
          <t>Lidl Crivit 城市 e-bike 買斷（€699）</t>
        </is>
      </c>
      <c r="B11" s="10" t="n">
        <v>699</v>
      </c>
      <c r="C11" s="7" t="n">
        <v>0</v>
      </c>
      <c r="D11" s="18">
        <f>$B11+假設!$B$44*2+IF(2&gt;=4,假設!$B$45,0)+IF(2&gt;=8,假設!$B$45,0)</f>
        <v>799.0</v>
      </c>
      <c r="E11" s="18">
        <f>$B11+假設!$B$44*3+IF(3&gt;=4,假設!$B$45,0)+IF(3&gt;=8,假設!$B$45,0)</f>
        <v>849.0</v>
      </c>
      <c r="F11" s="18">
        <f>$B11+假設!$B$44*5+IF(5&gt;=4,假設!$B$45,0)+IF(5&gt;=8,假設!$B$45,0)</f>
        <v>1199.0</v>
      </c>
      <c r="G11" s="18">
        <f>$B11+假設!$B$44*8+IF(8&gt;=4,假設!$B$45,0)+IF(8&gt;=8,假設!$B$45,0)</f>
        <v>1599.0</v>
      </c>
      <c r="H11" s="8" t="inlineStr">
        <is>
          <t>2026 Lidl 城市 e-bike €699（Shimano 變速）</t>
        </is>
      </c>
    </row>
    <row r="12">
      <c r="A12" s="6" t="inlineStr">
        <is>
          <t>Decathlon Elops 120 E 買斷（€799）</t>
        </is>
      </c>
      <c r="B12" s="10" t="n">
        <v>799</v>
      </c>
      <c r="C12" s="7" t="n">
        <v>0</v>
      </c>
      <c r="D12" s="18">
        <f>$B12+假設!$B$44*2+IF(2&gt;=4,假設!$B$45,0)+IF(2&gt;=8,假設!$B$45,0)</f>
        <v>899.0</v>
      </c>
      <c r="E12" s="18">
        <f>$B12+假設!$B$44*3+IF(3&gt;=4,假設!$B$45,0)+IF(3&gt;=8,假設!$B$45,0)</f>
        <v>949.0</v>
      </c>
      <c r="F12" s="18">
        <f>$B12+假設!$B$44*5+IF(5&gt;=4,假設!$B$45,0)+IF(5&gt;=8,假設!$B$45,0)</f>
        <v>1299.0</v>
      </c>
      <c r="G12" s="18">
        <f>$B12+假設!$B$44*8+IF(8&gt;=4,假設!$B$45,0)+IF(8&gt;=8,假設!$B$45,0)</f>
        <v>1699.0</v>
      </c>
      <c r="H12" s="8" t="inlineStr">
        <is>
          <t>313Wh、6 速</t>
        </is>
      </c>
    </row>
    <row r="13">
      <c r="A13" s="6" t="inlineStr">
        <is>
          <t>Tenways CGO600 買斷（€1,099，單速對標）</t>
        </is>
      </c>
      <c r="B13" s="10" t="n">
        <v>1099</v>
      </c>
      <c r="C13" s="7" t="n">
        <v>0</v>
      </c>
      <c r="D13" s="18">
        <f>$B13+假設!$B$44*2+IF(2&gt;=4,假設!$B$45,0)+IF(2&gt;=8,假設!$B$45,0)</f>
        <v>1199.0</v>
      </c>
      <c r="E13" s="18">
        <f>$B13+假設!$B$44*3+IF(3&gt;=4,假設!$B$45,0)+IF(3&gt;=8,假設!$B$45,0)</f>
        <v>1249.0</v>
      </c>
      <c r="F13" s="18">
        <f>$B13+假設!$B$44*5+IF(5&gt;=4,假設!$B$45,0)+IF(5&gt;=8,假設!$B$45,0)</f>
        <v>1599.0</v>
      </c>
      <c r="G13" s="18">
        <f>$B13+假設!$B$44*8+IF(8&gt;=4,假設!$B$45,0)+IF(8&gt;=8,假設!$B$45,0)</f>
        <v>1999.0</v>
      </c>
      <c r="H13" s="8" t="inlineStr">
        <is>
          <t>單速皮帶、Mivice 40N·m、扭力感測</t>
        </is>
      </c>
    </row>
    <row r="14">
      <c r="A14" s="6" t="inlineStr">
        <is>
          <t>Swapfiets Power 1 整車訂閱</t>
        </is>
      </c>
      <c r="B14" s="10" t="n">
        <v>0</v>
      </c>
      <c r="C14" s="7" t="n">
        <v>59.9</v>
      </c>
      <c r="D14" s="18">
        <f>$B14+$C14*12*2</f>
        <v>1437.6</v>
      </c>
      <c r="E14" s="18">
        <f>$B14+$C14*12*3</f>
        <v>2156.3999999999996</v>
      </c>
      <c r="F14" s="18">
        <f>$B14+$C14*12*5</f>
        <v>3594.0</v>
      </c>
      <c r="G14" s="18">
        <f>$B14+$C14*12*8</f>
        <v>5750.4</v>
      </c>
      <c r="H14" s="8" t="inlineStr">
        <is>
          <t>€49.90 導入價、常態 €59.90；含維修保險，車不歸消費者</t>
        </is>
      </c>
    </row>
    <row r="16">
      <c r="A16" s="14" t="inlineStr">
        <is>
          <t>本案 €9.9/月 vs Action E200：5 年差額（負值 = 本案較省）</t>
        </is>
      </c>
      <c r="F16" s="22">
        <f>F7-F10</f>
        <v>-208.7809802680174</v>
      </c>
      <c r="G16" s="22">
        <f>G7-G10</f>
        <v>-252.3809802680173</v>
      </c>
      <c r="H16" s="6" t="inlineStr">
        <is>
          <t>8 年差額見 G 欄</t>
        </is>
      </c>
    </row>
    <row r="18">
      <c r="A18" s="3" t="inlineStr">
        <is>
          <t>B. 日本（JPY）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5" t="inlineStr">
        <is>
          <t>方案</t>
        </is>
      </c>
      <c r="B19" s="5" t="inlineStr">
        <is>
          <t>前置費用</t>
        </is>
      </c>
      <c r="C19" s="5" t="inlineStr">
        <is>
          <t>月費</t>
        </is>
      </c>
      <c r="D19" s="5" t="inlineStr">
        <is>
          <t>2 年</t>
        </is>
      </c>
      <c r="E19" s="5" t="inlineStr">
        <is>
          <t>3 年</t>
        </is>
      </c>
      <c r="F19" s="5" t="inlineStr">
        <is>
          <t>5 年</t>
        </is>
      </c>
      <c r="G19" s="5" t="inlineStr">
        <is>
          <t>8 年</t>
        </is>
      </c>
      <c r="H19" s="5" t="inlineStr">
        <is>
          <t>說明</t>
        </is>
      </c>
    </row>
    <row r="20">
      <c r="A20" s="6" t="inlineStr">
        <is>
          <t>本案：車體買斷 + ¥980/月電池訂閱（含扭力感測）</t>
        </is>
      </c>
      <c r="B20" s="13">
        <f>訂閱單位經濟!C10</f>
        <v>61608.74933523267</v>
      </c>
      <c r="C20" s="7" t="n">
        <v>980</v>
      </c>
      <c r="D20" s="18">
        <f>$B20+$C20*12*2</f>
        <v>85128.74933523267</v>
      </c>
      <c r="E20" s="18">
        <f>$B20+$C20*12*3</f>
        <v>96888.74933523267</v>
      </c>
      <c r="F20" s="18">
        <f>$B20+$C20*12*5</f>
        <v>120408.74933523267</v>
      </c>
      <c r="G20" s="18">
        <f>$B20+$C20*12*8</f>
        <v>155688.74933523266</v>
      </c>
      <c r="H20" s="8" t="inlineStr">
        <is>
          <t>含電池更換與失竊補償；車體歸消費者</t>
        </is>
      </c>
    </row>
    <row r="21">
      <c r="A21" s="6" t="inlineStr">
        <is>
          <t>本案：車體買斷 + ¥1,280/月電池訂閱（含扭力感測）</t>
        </is>
      </c>
      <c r="B21" s="13">
        <f>訂閱單位經濟!C10</f>
        <v>61608.74933523267</v>
      </c>
      <c r="C21" s="7" t="n">
        <v>1280</v>
      </c>
      <c r="D21" s="18">
        <f>$B21+$C21*12*2</f>
        <v>92328.74933523267</v>
      </c>
      <c r="E21" s="18">
        <f>$B21+$C21*12*3</f>
        <v>107688.74933523267</v>
      </c>
      <c r="F21" s="18">
        <f>$B21+$C21*12*5</f>
        <v>138408.74933523266</v>
      </c>
      <c r="G21" s="18">
        <f>$B21+$C21*12*8</f>
        <v>184488.74933523266</v>
      </c>
      <c r="H21" s="8" t="inlineStr">
        <is>
          <t>含電池更換與失竊補償；車體歸消費者</t>
        </is>
      </c>
    </row>
    <row r="22">
      <c r="A22" s="6" t="inlineStr">
        <is>
          <t>本案：車體買斷 + ¥1,680/月電池訂閱（含扭力感測）</t>
        </is>
      </c>
      <c r="B22" s="13">
        <f>訂閱單位經濟!C10</f>
        <v>61608.74933523267</v>
      </c>
      <c r="C22" s="7" t="n">
        <v>1680</v>
      </c>
      <c r="D22" s="18">
        <f>$B22+$C22*12*2</f>
        <v>101928.74933523267</v>
      </c>
      <c r="E22" s="18">
        <f>$B22+$C22*12*3</f>
        <v>122088.74933523267</v>
      </c>
      <c r="F22" s="18">
        <f>$B22+$C22*12*5</f>
        <v>162408.74933523266</v>
      </c>
      <c r="G22" s="18">
        <f>$B22+$C22*12*8</f>
        <v>222888.74933523266</v>
      </c>
      <c r="H22" s="8" t="inlineStr">
        <is>
          <t>含電池更換與失竊補償；車體歸消費者</t>
        </is>
      </c>
    </row>
    <row r="23">
      <c r="A23" s="6" t="inlineStr">
        <is>
          <t>本案：車體買斷 + ¥1,980/月電池訂閱（含扭力感測）</t>
        </is>
      </c>
      <c r="B23" s="13">
        <f>訂閱單位經濟!C10</f>
        <v>61608.74933523267</v>
      </c>
      <c r="C23" s="7" t="n">
        <v>1980</v>
      </c>
      <c r="D23" s="18">
        <f>$B23+$C23*12*2</f>
        <v>109128.74933523267</v>
      </c>
      <c r="E23" s="18">
        <f>$B23+$C23*12*3</f>
        <v>132888.74933523266</v>
      </c>
      <c r="F23" s="18">
        <f>$B23+$C23*12*5</f>
        <v>180408.74933523266</v>
      </c>
      <c r="G23" s="18">
        <f>$B23+$C23*12*8</f>
        <v>251688.74933523266</v>
      </c>
      <c r="H23" s="8" t="inlineStr">
        <is>
          <t>含電池更換與失竊補償；車體歸消費者</t>
        </is>
      </c>
    </row>
    <row r="24">
      <c r="A24" s="6" t="inlineStr">
        <is>
          <t>NORUDE Panasonic ViVi SX 整車訂閱</t>
        </is>
      </c>
      <c r="B24" s="10" t="n">
        <v>0</v>
      </c>
      <c r="C24" s="7" t="n">
        <v>2890</v>
      </c>
      <c r="D24" s="18">
        <f>$B24+$C24*12*2</f>
        <v>69360.0</v>
      </c>
      <c r="E24" s="18">
        <f>$B24+$C24*12*3</f>
        <v>104040.0</v>
      </c>
      <c r="F24" s="18">
        <f>$B24+$C24*12*5</f>
        <v>173400.0</v>
      </c>
      <c r="G24" s="18">
        <f>$B24+$C24*12*8</f>
        <v>277440.0</v>
      </c>
      <c r="H24" s="8" t="inlineStr">
        <is>
          <t>整車 + 維護 + 換電池（零售 ¥158,000）；車不歸消費者</t>
        </is>
      </c>
    </row>
    <row r="25">
      <c r="A25" s="6" t="inlineStr">
        <is>
          <t>PELTECH 型式認定車買斷（¥89,980 起）</t>
        </is>
      </c>
      <c r="B25" s="10" t="n">
        <v>89980</v>
      </c>
      <c r="C25" s="7" t="n">
        <v>0</v>
      </c>
      <c r="D25" s="18">
        <f>$B25+假設!$B$64*2+IF(2&gt;=4,假設!$B$65,0)+IF(2&gt;=8,假設!$B$65,0)</f>
        <v>99980.0</v>
      </c>
      <c r="E25" s="18">
        <f>$B25+假設!$B$64*3+IF(3&gt;=4,假設!$B$65,0)+IF(3&gt;=8,假設!$B$65,0)</f>
        <v>104980.0</v>
      </c>
      <c r="F25" s="18">
        <f>$B25+假設!$B$64*5+IF(5&gt;=4,假設!$B$65,0)+IF(5&gt;=8,假設!$B$65,0)</f>
        <v>149980.0</v>
      </c>
      <c r="G25" s="18">
        <f>$B25+假設!$B$64*8+IF(8&gt;=4,假設!$B$65,0)+IF(8&gt;=8,假設!$B$65,0)</f>
        <v>199980.0</v>
      </c>
      <c r="H25" s="8" t="inlineStr">
        <is>
          <t>2026 日本最低價帶合法電動アシスト</t>
        </is>
      </c>
    </row>
    <row r="26">
      <c r="A26" s="6" t="inlineStr">
        <is>
          <t>電動アシスト POS 平均買斷（¥130,663）</t>
        </is>
      </c>
      <c r="B26" s="10" t="n">
        <v>130663</v>
      </c>
      <c r="C26" s="7" t="n">
        <v>0</v>
      </c>
      <c r="D26" s="18">
        <f>$B26+假設!$B$64*2+IF(2&gt;=4,假設!$B$65,0)+IF(2&gt;=8,假設!$B$65,0)</f>
        <v>140663.0</v>
      </c>
      <c r="E26" s="18">
        <f>$B26+假設!$B$64*3+IF(3&gt;=4,假設!$B$65,0)+IF(3&gt;=8,假設!$B$65,0)</f>
        <v>145663.0</v>
      </c>
      <c r="F26" s="18">
        <f>$B26+假設!$B$64*5+IF(5&gt;=4,假設!$B$65,0)+IF(5&gt;=8,假設!$B$65,0)</f>
        <v>190663.0</v>
      </c>
      <c r="G26" s="18">
        <f>$B26+假設!$B$64*8+IF(8&gt;=4,假設!$B$65,0)+IF(8&gt;=8,假設!$B$65,0)</f>
        <v>240663.0</v>
      </c>
      <c r="H26" s="8" t="inlineStr">
        <is>
          <t>JBPI 2025/7 POS</t>
        </is>
      </c>
    </row>
    <row r="27">
      <c r="A27" s="6" t="inlineStr">
        <is>
          <t>軽快車／媽媽車買斷（¥28,729，無助力）</t>
        </is>
      </c>
      <c r="B27" s="10" t="n">
        <v>28729</v>
      </c>
      <c r="C27" s="7" t="n">
        <v>0</v>
      </c>
      <c r="D27" s="18">
        <f>$B27+2000*2+IF(2&gt;=4,0,0)+IF(2&gt;=8,0,0)</f>
        <v>32729.0</v>
      </c>
      <c r="E27" s="18">
        <f>$B27+2000*3+IF(3&gt;=4,0,0)+IF(3&gt;=8,0,0)</f>
        <v>34729.0</v>
      </c>
      <c r="F27" s="18">
        <f>$B27+2000*5+IF(5&gt;=4,0,0)+IF(5&gt;=8,0,0)</f>
        <v>38729.0</v>
      </c>
      <c r="G27" s="18">
        <f>$B27+2000*8+IF(8&gt;=4,0,0)+IF(8&gt;=8,0,0)</f>
        <v>44729.0</v>
      </c>
      <c r="H27" s="8" t="inlineStr">
        <is>
          <t>JBPI 2025/7 POS；年維護以 ¥2,000 計</t>
        </is>
      </c>
    </row>
    <row r="29">
      <c r="A29" s="14" t="inlineStr">
        <is>
          <t>本案 ¥1,280/月 vs PELTECH 買斷：3 年差額（負值 = 本案較省）</t>
        </is>
      </c>
      <c r="E29" s="22">
        <f>E21-E25</f>
        <v>2708.749335232671</v>
      </c>
      <c r="F29" s="22">
        <f>F21-F25</f>
        <v>-11571.250664767344</v>
      </c>
      <c r="H29" s="6" t="inlineStr">
        <is>
          <t>5 年差額見 F 欄</t>
        </is>
      </c>
    </row>
    <row r="30">
      <c r="A30" s="14" t="inlineStr">
        <is>
          <t>本案 ¥1,280/月 vs NORUDE：3 年差額</t>
        </is>
      </c>
      <c r="E30" s="22">
        <f>E21-E24</f>
        <v>3648.749335232671</v>
      </c>
      <c r="F30" s="22">
        <f>F21-F24</f>
        <v>-34991.25066476734</v>
      </c>
      <c r="H30" s="6" t="inlineStr">
        <is>
          <t>NORUDE 期末須還車；本案車體歸消費者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敏感度分析</t>
        </is>
      </c>
    </row>
    <row r="2">
      <c r="A2" s="2" t="inlineStr">
        <is>
          <t>全部連動假設表與 BOM 表。</t>
        </is>
      </c>
    </row>
    <row r="4">
      <c r="A4" s="3" t="inlineStr">
        <is>
          <t>A. 歐洲單戶淨值（€）：月費 × 訂閱壽命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月費（含稅） ＼ 壽命（月）</t>
        </is>
      </c>
      <c r="B5" s="5" t="inlineStr">
        <is>
          <t>24 月</t>
        </is>
      </c>
      <c r="C5" s="5" t="inlineStr">
        <is>
          <t>36 月</t>
        </is>
      </c>
      <c r="D5" s="5" t="inlineStr">
        <is>
          <t>48 月</t>
        </is>
      </c>
      <c r="E5" s="5" t="inlineStr">
        <is>
          <t>60 月</t>
        </is>
      </c>
      <c r="F5" s="5" t="inlineStr"/>
      <c r="G5" s="5" t="inlineStr"/>
      <c r="H5" s="5" t="inlineStr">
        <is>
          <t>說明</t>
        </is>
      </c>
    </row>
    <row r="6">
      <c r="A6" s="7" t="n">
        <v>5.9</v>
      </c>
      <c r="B6" s="18">
        <f>($A6/(1+假設!$B$33)*(1-假設!$B$34-假設!$B$35)-假設!$B$36-假設!$B$37-假設!$B$38-訂閱單位經濟!$B$19)*24+訂閱單位經濟!$B$17*(假設!$B$43-1)-假設!$B$42</f>
        <v>-48.65777310924371</v>
      </c>
      <c r="C6" s="18">
        <f>($A6/(1+假設!$B$33)*(1-假設!$B$34-假設!$B$35)-假設!$B$36-假設!$B$37-假設!$B$38-訂閱單位經濟!$B$19)*36+訂閱單位經濟!$B$17*(假設!$B$43-1)-假設!$B$42</f>
        <v>-33.51767818238409</v>
      </c>
      <c r="D6" s="18">
        <f>($A6/(1+假設!$B$33)*(1-假設!$B$34-假設!$B$35)-假設!$B$36-假設!$B$37-假設!$B$38-訂閱單位經濟!$B$19)*48+訂閱單位經濟!$B$17*(假設!$B$43-1)-假設!$B$42</f>
        <v>-18.377583255524463</v>
      </c>
      <c r="E6" s="18">
        <f>($A6/(1+假設!$B$33)*(1-假設!$B$34-假設!$B$35)-假設!$B$36-假設!$B$37-假設!$B$38-訂閱單位經濟!$B$19)*60+訂閱單位經濟!$B$17*(假設!$B$43-1)-假設!$B$42</f>
        <v>-3.2374883286648455</v>
      </c>
      <c r="H6" s="8" t="inlineStr">
        <is>
          <t>壽命 = 電池訂閱持續月數</t>
        </is>
      </c>
    </row>
    <row r="7">
      <c r="A7" s="7" t="n">
        <v>7.9</v>
      </c>
      <c r="B7" s="18">
        <f>($A7/(1+假設!$B$33)*(1-假設!$B$34-假設!$B$35)-假設!$B$36-假設!$B$37-假設!$B$38-訂閱單位經濟!$B$19)*24+訂閱單位經濟!$B$17*(假設!$B$43-1)-假設!$B$42</f>
        <v>-11.346848739495805</v>
      </c>
      <c r="C7" s="18">
        <f>($A7/(1+假設!$B$33)*(1-假設!$B$34-假設!$B$35)-假設!$B$36-假設!$B$37-假設!$B$38-訂閱單位經濟!$B$19)*36+訂閱單位經濟!$B$17*(假設!$B$43-1)-假設!$B$42</f>
        <v>22.448708372237768</v>
      </c>
      <c r="D7" s="18">
        <f>($A7/(1+假設!$B$33)*(1-假設!$B$34-假設!$B$35)-假設!$B$36-假設!$B$37-假設!$B$38-訂閱單位經濟!$B$19)*48+訂閱單位經濟!$B$17*(假設!$B$43-1)-假設!$B$42</f>
        <v>56.24426548397136</v>
      </c>
      <c r="E7" s="18">
        <f>($A7/(1+假設!$B$33)*(1-假設!$B$34-假設!$B$35)-假設!$B$36-假設!$B$37-假設!$B$38-訂閱單位經濟!$B$19)*60+訂閱單位經濟!$B$17*(假設!$B$43-1)-假設!$B$42</f>
        <v>90.03982259570495</v>
      </c>
      <c r="H7" s="8" t="inlineStr">
        <is>
          <t>壽命 = 電池訂閱持續月數</t>
        </is>
      </c>
    </row>
    <row r="8">
      <c r="A8" s="7" t="n">
        <v>9.9</v>
      </c>
      <c r="B8" s="18">
        <f>($A8/(1+假設!$B$33)*(1-假設!$B$34-假設!$B$35)-假設!$B$36-假設!$B$37-假設!$B$38-訂閱單位經濟!$B$19)*24+訂閱單位經濟!$B$17*(假設!$B$43-1)-假設!$B$42</f>
        <v>25.96407563025212</v>
      </c>
      <c r="C8" s="18">
        <f>($A8/(1+假設!$B$33)*(1-假設!$B$34-假設!$B$35)-假設!$B$36-假設!$B$37-假設!$B$38-訂閱單位經濟!$B$19)*36+訂閱單位經濟!$B$17*(假設!$B$43-1)-假設!$B$42</f>
        <v>78.41509492685967</v>
      </c>
      <c r="D8" s="18">
        <f>($A8/(1+假設!$B$33)*(1-假設!$B$34-假設!$B$35)-假設!$B$36-假設!$B$37-假設!$B$38-訂閱單位經濟!$B$19)*48+訂閱單位經濟!$B$17*(假設!$B$43-1)-假設!$B$42</f>
        <v>130.8661142234672</v>
      </c>
      <c r="E8" s="18">
        <f>($A8/(1+假設!$B$33)*(1-假設!$B$34-假設!$B$35)-假設!$B$36-假設!$B$37-假設!$B$38-訂閱單位經濟!$B$19)*60+訂閱單位經濟!$B$17*(假設!$B$43-1)-假設!$B$42</f>
        <v>183.31713352007472</v>
      </c>
      <c r="H8" s="8" t="inlineStr">
        <is>
          <t>壽命 = 電池訂閱持續月數</t>
        </is>
      </c>
    </row>
    <row r="9">
      <c r="A9" s="7" t="n">
        <v>12.9</v>
      </c>
      <c r="B9" s="18">
        <f>($A9/(1+假設!$B$33)*(1-假設!$B$34-假設!$B$35)-假設!$B$36-假設!$B$37-假設!$B$38-訂閱單位經濟!$B$19)*24+訂閱單位經濟!$B$17*(假設!$B$43-1)-假設!$B$42</f>
        <v>81.93046218487393</v>
      </c>
      <c r="C9" s="18">
        <f>($A9/(1+假設!$B$33)*(1-假設!$B$34-假設!$B$35)-假設!$B$36-假設!$B$37-假設!$B$38-訂閱單位經濟!$B$19)*36+訂閱單位經濟!$B$17*(假設!$B$43-1)-假設!$B$42</f>
        <v>162.36467475879238</v>
      </c>
      <c r="D9" s="18">
        <f>($A9/(1+假設!$B$33)*(1-假設!$B$34-假設!$B$35)-假設!$B$36-假設!$B$37-假設!$B$38-訂閱單位經濟!$B$19)*48+訂閱單位經濟!$B$17*(假設!$B$43-1)-假設!$B$42</f>
        <v>242.79888733271082</v>
      </c>
      <c r="E9" s="18">
        <f>($A9/(1+假設!$B$33)*(1-假設!$B$34-假設!$B$35)-假設!$B$36-假設!$B$37-假設!$B$38-訂閱單位經濟!$B$19)*60+訂閱單位經濟!$B$17*(假設!$B$43-1)-假設!$B$42</f>
        <v>323.23309990662926</v>
      </c>
      <c r="H9" s="8" t="inlineStr">
        <is>
          <t>壽命 = 電池訂閱持續月數</t>
        </is>
      </c>
    </row>
    <row r="10">
      <c r="A10" s="7" t="n">
        <v>14.9</v>
      </c>
      <c r="B10" s="18">
        <f>($A10/(1+假設!$B$33)*(1-假設!$B$34-假設!$B$35)-假設!$B$36-假設!$B$37-假設!$B$38-訂閱單位經濟!$B$19)*24+訂閱單位經濟!$B$17*(假設!$B$43-1)-假設!$B$42</f>
        <v>119.24138655462184</v>
      </c>
      <c r="C10" s="18">
        <f>($A10/(1+假設!$B$33)*(1-假設!$B$34-假設!$B$35)-假設!$B$36-假設!$B$37-假設!$B$38-訂閱單位經濟!$B$19)*36+訂閱單位經濟!$B$17*(假設!$B$43-1)-假設!$B$42</f>
        <v>218.33106131341424</v>
      </c>
      <c r="D10" s="18">
        <f>($A10/(1+假設!$B$33)*(1-假設!$B$34-假設!$B$35)-假設!$B$36-假設!$B$37-假設!$B$38-訂閱單位經濟!$B$19)*48+訂閱單位經濟!$B$17*(假設!$B$43-1)-假設!$B$42</f>
        <v>317.42073607220664</v>
      </c>
      <c r="E10" s="18">
        <f>($A10/(1+假設!$B$33)*(1-假設!$B$34-假設!$B$35)-假設!$B$36-假設!$B$37-假設!$B$38-訂閱單位經濟!$B$19)*60+訂閱單位經濟!$B$17*(假設!$B$43-1)-假設!$B$42</f>
        <v>416.5104108309991</v>
      </c>
      <c r="H10" s="8" t="inlineStr">
        <is>
          <t>壽命 = 電池訂閱持續月數</t>
        </is>
      </c>
    </row>
    <row r="12">
      <c r="A12" s="3" t="inlineStr">
        <is>
          <t>B. 日本單戶淨值（¥）：月費 × 電池更換週期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5" t="inlineStr">
        <is>
          <t>月費（含稅） ＼ 更換週期（月）</t>
        </is>
      </c>
      <c r="B13" s="5" t="inlineStr">
        <is>
          <t>30 月</t>
        </is>
      </c>
      <c r="C13" s="5" t="inlineStr">
        <is>
          <t>36 月</t>
        </is>
      </c>
      <c r="D13" s="5" t="inlineStr">
        <is>
          <t>48 月</t>
        </is>
      </c>
      <c r="E13" s="5" t="inlineStr">
        <is>
          <t>60 月</t>
        </is>
      </c>
      <c r="F13" s="5" t="inlineStr"/>
      <c r="G13" s="5" t="inlineStr"/>
      <c r="H13" s="5" t="inlineStr">
        <is>
          <t>說明</t>
        </is>
      </c>
    </row>
    <row r="14">
      <c r="A14" s="10" t="n">
        <v>980</v>
      </c>
      <c r="B14" s="18">
        <f>($A14/(1+假設!$B$53)*(1-假設!$B$54-假設!$B$55)-假設!$B$56-假設!$B$57-假設!$B$58-訂閱單位經濟!$C$18/30)*假設!$B$61+訂閱單位經濟!$C$17*(假設!$B$63-1)-假設!$B$62</f>
        <v>-10072.682000000003</v>
      </c>
      <c r="C14" s="18">
        <f>($A14/(1+假設!$B$53)*(1-假設!$B$54-假設!$B$55)-假設!$B$56-假設!$B$57-假設!$B$58-訂閱單位經濟!$C$18/36)*假設!$B$61+訂閱單位經濟!$C$17*(假設!$B$63-1)-假設!$B$62</f>
        <v>-7246.274000000001</v>
      </c>
      <c r="D14" s="18">
        <f>($A14/(1+假設!$B$53)*(1-假設!$B$54-假設!$B$55)-假設!$B$56-假設!$B$57-假設!$B$58-訂閱單位經濟!$C$18/48)*假設!$B$61+訂閱單位經濟!$C$17*(假設!$B$63-1)-假設!$B$62</f>
        <v>-3713.264000000001</v>
      </c>
      <c r="E14" s="18">
        <f>($A14/(1+假設!$B$53)*(1-假設!$B$54-假設!$B$55)-假設!$B$56-假設!$B$57-假設!$B$58-訂閱單位經濟!$C$18/60)*假設!$B$61+訂閱單位經濟!$C$17*(假設!$B$63-1)-假設!$B$62</f>
        <v>-1593.4580000000024</v>
      </c>
      <c r="H14" s="8" t="inlineStr">
        <is>
          <t>日本 1:2 助力比耗電高，週期可能縮至 30–36 月</t>
        </is>
      </c>
    </row>
    <row r="15">
      <c r="A15" s="10" t="n">
        <v>1280</v>
      </c>
      <c r="B15" s="18">
        <f>($A15/(1+假設!$B$53)*(1-假設!$B$54-假設!$B$55)-假設!$B$56-假設!$B$57-假設!$B$58-訂閱單位經濟!$C$18/30)*假設!$B$61+訂閱單位經濟!$C$17*(假設!$B$63-1)-假設!$B$62</f>
        <v>-892.6820000000062</v>
      </c>
      <c r="C15" s="18">
        <f>($A15/(1+假設!$B$53)*(1-假設!$B$54-假設!$B$55)-假設!$B$56-假設!$B$57-假設!$B$58-訂閱單位經濟!$C$18/36)*假設!$B$61+訂閱單位經濟!$C$17*(假設!$B$63-1)-假設!$B$62</f>
        <v>1933.7259999999933</v>
      </c>
      <c r="D15" s="18">
        <f>($A15/(1+假設!$B$53)*(1-假設!$B$54-假設!$B$55)-假設!$B$56-假設!$B$57-假設!$B$58-訂閱單位經濟!$C$18/48)*假設!$B$61+訂閱單位經濟!$C$17*(假設!$B$63-1)-假設!$B$62</f>
        <v>5466.735999999992</v>
      </c>
      <c r="E15" s="18">
        <f>($A15/(1+假設!$B$53)*(1-假設!$B$54-假設!$B$55)-假設!$B$56-假設!$B$57-假設!$B$58-訂閱單位經濟!$C$18/60)*假設!$B$61+訂閱單位經濟!$C$17*(假設!$B$63-1)-假設!$B$62</f>
        <v>7586.541999999992</v>
      </c>
      <c r="H15" s="8" t="inlineStr">
        <is>
          <t>日本 1:2 助力比耗電高，週期可能縮至 30–36 月</t>
        </is>
      </c>
    </row>
    <row r="16">
      <c r="A16" s="10" t="n">
        <v>1680</v>
      </c>
      <c r="B16" s="18">
        <f>($A16/(1+假設!$B$53)*(1-假設!$B$54-假設!$B$55)-假設!$B$56-假設!$B$57-假設!$B$58-訂閱單位經濟!$C$18/30)*假設!$B$61+訂閱單位經濟!$C$17*(假設!$B$63-1)-假設!$B$62</f>
        <v>11347.318000000001</v>
      </c>
      <c r="C16" s="18">
        <f>($A16/(1+假設!$B$53)*(1-假設!$B$54-假設!$B$55)-假設!$B$56-假設!$B$57-假設!$B$58-訂閱單位經濟!$C$18/36)*假設!$B$61+訂閱單位經濟!$C$17*(假設!$B$63-1)-假設!$B$62</f>
        <v>14173.726000000002</v>
      </c>
      <c r="D16" s="18">
        <f>($A16/(1+假設!$B$53)*(1-假設!$B$54-假設!$B$55)-假設!$B$56-假設!$B$57-假設!$B$58-訂閱單位經濟!$C$18/48)*假設!$B$61+訂閱單位經濟!$C$17*(假設!$B$63-1)-假設!$B$62</f>
        <v>17706.736000000004</v>
      </c>
      <c r="E16" s="18">
        <f>($A16/(1+假設!$B$53)*(1-假設!$B$54-假設!$B$55)-假設!$B$56-假設!$B$57-假設!$B$58-訂閱單位經濟!$C$18/60)*假設!$B$61+訂閱單位經濟!$C$17*(假設!$B$63-1)-假設!$B$62</f>
        <v>19826.542</v>
      </c>
      <c r="H16" s="8" t="inlineStr">
        <is>
          <t>日本 1:2 助力比耗電高，週期可能縮至 30–36 月</t>
        </is>
      </c>
    </row>
    <row r="17">
      <c r="A17" s="10" t="n">
        <v>1980</v>
      </c>
      <c r="B17" s="18">
        <f>($A17/(1+假設!$B$53)*(1-假設!$B$54-假設!$B$55)-假設!$B$56-假設!$B$57-假設!$B$58-訂閱單位經濟!$C$18/30)*假設!$B$61+訂閱單位經濟!$C$17*(假設!$B$63-1)-假設!$B$62</f>
        <v>20527.318</v>
      </c>
      <c r="C17" s="18">
        <f>($A17/(1+假設!$B$53)*(1-假設!$B$54-假設!$B$55)-假設!$B$56-假設!$B$57-假設!$B$58-訂閱單位經濟!$C$18/36)*假設!$B$61+訂閱單位經濟!$C$17*(假設!$B$63-1)-假設!$B$62</f>
        <v>23353.725999999995</v>
      </c>
      <c r="D17" s="18">
        <f>($A17/(1+假設!$B$53)*(1-假設!$B$54-假設!$B$55)-假設!$B$56-假設!$B$57-假設!$B$58-訂閱單位經濟!$C$18/48)*假設!$B$61+訂閱單位經濟!$C$17*(假設!$B$63-1)-假設!$B$62</f>
        <v>26886.735999999997</v>
      </c>
      <c r="E17" s="18">
        <f>($A17/(1+假設!$B$53)*(1-假設!$B$54-假設!$B$55)-假設!$B$56-假設!$B$57-假設!$B$58-訂閱單位經濟!$C$18/60)*假設!$B$61+訂閱單位經濟!$C$17*(假設!$B$63-1)-假設!$B$62</f>
        <v>29006.542</v>
      </c>
      <c r="H17" s="8" t="inlineStr">
        <is>
          <t>日本 1:2 助力比耗電高，週期可能縮至 30–36 月</t>
        </is>
      </c>
    </row>
    <row r="19">
      <c r="A19" s="3" t="inlineStr">
        <is>
          <t>C. NT$6,000 出廠價隱含工廠毛利率：馬達單價 × 車架單價（100k 量級，不含電池）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5" t="inlineStr">
        <is>
          <t>馬達 US$ ＼ 車架 US$</t>
        </is>
      </c>
      <c r="B20" s="5" t="inlineStr">
        <is>
          <t>$38</t>
        </is>
      </c>
      <c r="C20" s="5" t="inlineStr">
        <is>
          <t>$42</t>
        </is>
      </c>
      <c r="D20" s="5" t="inlineStr">
        <is>
          <t>$46</t>
        </is>
      </c>
      <c r="E20" s="5" t="inlineStr">
        <is>
          <t>$50</t>
        </is>
      </c>
      <c r="F20" s="5" t="inlineStr"/>
      <c r="G20" s="5" t="inlineStr"/>
      <c r="H20" s="5" t="inlineStr">
        <is>
          <t>說明</t>
        </is>
      </c>
    </row>
    <row r="21">
      <c r="A21" s="10" t="n">
        <v>36</v>
      </c>
      <c r="B21" s="21">
        <f>1-(BOM!$E$34+(($A21-BOM!$E$7)+(38-BOM!$E$21))*(1+假設!$B$25))*假設!$B$6/假設!$B$18</f>
        <v>0.15869444444444436</v>
      </c>
      <c r="C21" s="21">
        <f>1-(BOM!$E$34+(($A21-BOM!$E$7)+(42-BOM!$E$21))*(1+假設!$B$25))*假設!$B$6/假設!$B$18</f>
        <v>0.13771777777777772</v>
      </c>
      <c r="D21" s="21">
        <f>1-(BOM!$E$34+(($A21-BOM!$E$7)+(46-BOM!$E$21))*(1+假設!$B$25))*假設!$B$6/假設!$B$18</f>
        <v>0.11674111111111096</v>
      </c>
      <c r="E21" s="21">
        <f>1-(BOM!$E$34+(($A21-BOM!$E$7)+(50-BOM!$E$21))*(1+假設!$B$25))*假設!$B$6/假設!$B$18</f>
        <v>0.09576444444444432</v>
      </c>
      <c r="H21" s="8" t="inlineStr">
        <is>
          <t>保固準備金按比例調整；負值 = 無法達標</t>
        </is>
      </c>
    </row>
    <row r="22">
      <c r="A22" s="10" t="n">
        <v>42</v>
      </c>
      <c r="B22" s="21">
        <f>1-(BOM!$E$34+(($A22-BOM!$E$7)+(38-BOM!$E$21))*(1+假設!$B$25))*假設!$B$6/假設!$B$18</f>
        <v>0.1272294444444444</v>
      </c>
      <c r="C22" s="21">
        <f>1-(BOM!$E$34+(($A22-BOM!$E$7)+(42-BOM!$E$21))*(1+假設!$B$25))*假設!$B$6/假設!$B$18</f>
        <v>0.10625277777777775</v>
      </c>
      <c r="D22" s="21">
        <f>1-(BOM!$E$34+(($A22-BOM!$E$7)+(46-BOM!$E$21))*(1+假設!$B$25))*假設!$B$6/假設!$B$18</f>
        <v>0.085276111111111</v>
      </c>
      <c r="E22" s="21">
        <f>1-(BOM!$E$34+(($A22-BOM!$E$7)+(50-BOM!$E$21))*(1+假設!$B$25))*假設!$B$6/假設!$B$18</f>
        <v>0.06429944444444435</v>
      </c>
      <c r="H22" s="8" t="inlineStr">
        <is>
          <t>保固準備金按比例調整；負值 = 無法達標</t>
        </is>
      </c>
    </row>
    <row r="23">
      <c r="A23" s="10" t="n">
        <v>47</v>
      </c>
      <c r="B23" s="21">
        <f>1-(BOM!$E$34+(($A23-BOM!$E$7)+(38-BOM!$E$21))*(1+假設!$B$25))*假設!$B$6/假設!$B$18</f>
        <v>0.10100861111111104</v>
      </c>
      <c r="C23" s="21">
        <f>1-(BOM!$E$34+(($A23-BOM!$E$7)+(42-BOM!$E$21))*(1+假設!$B$25))*假設!$B$6/假設!$B$18</f>
        <v>0.08003194444444439</v>
      </c>
      <c r="D23" s="21">
        <f>1-(BOM!$E$34+(($A23-BOM!$E$7)+(46-BOM!$E$21))*(1+假設!$B$25))*假設!$B$6/假設!$B$18</f>
        <v>0.05905527777777786</v>
      </c>
      <c r="E23" s="21">
        <f>1-(BOM!$E$34+(($A23-BOM!$E$7)+(50-BOM!$E$21))*(1+假設!$B$25))*假設!$B$6/假設!$B$18</f>
        <v>0.038078611111111105</v>
      </c>
      <c r="H23" s="8" t="inlineStr">
        <is>
          <t>保固準備金按比例調整；負值 = 無法達標</t>
        </is>
      </c>
    </row>
    <row r="24">
      <c r="A24" s="10" t="n">
        <v>55</v>
      </c>
      <c r="B24" s="21">
        <f>1-(BOM!$E$34+(($A24-BOM!$E$7)+(38-BOM!$E$21))*(1+假設!$B$25))*假設!$B$6/假設!$B$18</f>
        <v>0.05905527777777786</v>
      </c>
      <c r="C24" s="21">
        <f>1-(BOM!$E$34+(($A24-BOM!$E$7)+(42-BOM!$E$21))*(1+假設!$B$25))*假設!$B$6/假設!$B$18</f>
        <v>0.038078611111111105</v>
      </c>
      <c r="D24" s="21">
        <f>1-(BOM!$E$34+(($A24-BOM!$E$7)+(46-BOM!$E$21))*(1+假設!$B$25))*假設!$B$6/假設!$B$18</f>
        <v>0.01710194444444446</v>
      </c>
      <c r="E24" s="21">
        <f>1-(BOM!$E$34+(($A24-BOM!$E$7)+(50-BOM!$E$21))*(1+假設!$B$25))*假設!$B$6/假設!$B$18</f>
        <v>-0.0038747222222224043</v>
      </c>
      <c r="H24" s="8" t="inlineStr">
        <is>
          <t>保固準備金按比例調整；負值 = 無法達標</t>
        </is>
      </c>
    </row>
    <row r="26">
      <c r="A26" s="3" t="inlineStr">
        <is>
          <t>D. 出廠價達標所需量級：不同量級下 NT$6,000 隱含毛利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5" t="inlineStr">
        <is>
          <t>量級</t>
        </is>
      </c>
      <c r="B27" s="5" t="inlineStr">
        <is>
          <t>BOM 不含電池 US$</t>
        </is>
      </c>
      <c r="C27" s="5" t="inlineStr">
        <is>
          <t>隱含毛利率</t>
        </is>
      </c>
      <c r="D27" s="5" t="inlineStr">
        <is>
          <t>含電池 BOM US$</t>
        </is>
      </c>
      <c r="E27" s="5" t="inlineStr">
        <is>
          <t>含電池隱含毛利率</t>
        </is>
      </c>
      <c r="F27" s="5" t="inlineStr"/>
      <c r="G27" s="5" t="inlineStr"/>
      <c r="H27" s="5" t="inlineStr">
        <is>
          <t>說明</t>
        </is>
      </c>
    </row>
    <row r="28">
      <c r="A28" s="6" t="inlineStr">
        <is>
          <t>10k</t>
        </is>
      </c>
      <c r="B28" s="23">
        <f>BOM!C34</f>
        <v>216.4683333333333</v>
      </c>
      <c r="C28" s="26">
        <f>BOM!C40</f>
        <v>-0.11841972222222208</v>
      </c>
      <c r="D28" s="23">
        <f>BOM!C35</f>
        <v>281.4683333333333</v>
      </c>
      <c r="E28" s="26">
        <f>BOM!C41</f>
        <v>-0.4542530555555553</v>
      </c>
      <c r="H28" s="8" t="inlineStr">
        <is>
          <t>10k 量級不可行；30k 起勉強；100k 才有 ODM 廠可接的毛利</t>
        </is>
      </c>
    </row>
    <row r="29">
      <c r="A29" s="6" t="inlineStr">
        <is>
          <t>30k</t>
        </is>
      </c>
      <c r="B29" s="23">
        <f>BOM!D34</f>
        <v>189.21944444444443</v>
      </c>
      <c r="C29" s="26">
        <f>BOM!D40</f>
        <v>0.02236620370370379</v>
      </c>
      <c r="D29" s="23">
        <f>BOM!D35</f>
        <v>246.71944444444443</v>
      </c>
      <c r="E29" s="26">
        <f>BOM!D41</f>
        <v>-0.2747171296296296</v>
      </c>
      <c r="H29" s="8" t="inlineStr">
        <is>
          <t>10k 量級不可行；30k 起勉強；100k 才有 ODM 廠可接的毛利</t>
        </is>
      </c>
    </row>
    <row r="30">
      <c r="A30" s="6" t="inlineStr">
        <is>
          <t>100k</t>
        </is>
      </c>
      <c r="B30" s="23">
        <f>BOM!E34</f>
        <v>172.98333333333335</v>
      </c>
      <c r="C30" s="26">
        <f>BOM!E40</f>
        <v>0.10625277777777775</v>
      </c>
      <c r="D30" s="23">
        <f>BOM!E35</f>
        <v>225.98333333333335</v>
      </c>
      <c r="E30" s="26">
        <f>BOM!E41</f>
        <v>-0.16758055555555562</v>
      </c>
      <c r="H30" s="8" t="inlineStr">
        <is>
          <t>10k 量級不可行；30k 起勉強；100k 才有 ODM 廠可接的毛利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27" t="inlineStr">
        <is>
          <t>結論與建議</t>
        </is>
      </c>
    </row>
    <row r="2">
      <c r="A2" s="28" t="inlineStr"/>
    </row>
    <row r="3">
      <c r="A3" s="29" t="inlineStr">
        <is>
          <t>核心判決</t>
        </is>
      </c>
    </row>
    <row r="4">
      <c r="A4" s="28" t="inlineStr">
        <is>
          <t>NT$6,000 / RMB 1,300 的出廠價只有在「電池與充電器不計入出廠價、改為訂閱資產」且年量達 3–10 萬台時成立；電池隨車賣斷則任何量級都做不到。</t>
        </is>
      </c>
    </row>
    <row r="5">
      <c r="A5" s="28" t="inlineStr"/>
    </row>
    <row r="6">
      <c r="A6" s="28" t="inlineStr">
        <is>
          <t>1. 出廠價：不含電池 100k 量級 BOM ≈ US$172（NT$5,340），NT$6,000 隱含工廠毛利約 11%；30k 量級約 2%；10k 量級為負。含電池 BOM ≈ US$225，NT$6,000 之下毛利 −16%。</t>
        </is>
      </c>
    </row>
    <row r="7">
      <c r="A7" s="28" t="inlineStr">
        <is>
          <t>2. 訂閱制降低門檻的機制：車體以 DTC 約 €399 / ¥59,800 賣斷（比最低價合法 e-bike €699 / ¥89,980 低 33–43%），電池 + 充電器 + 失竊補償 + 到期換新以 €9.9 / ¥1,280 月費提供；營運商資產每戶僅 €55 級（TCO 模型三電全訂閱為 €204），回收期 12 個月級、單戶淨值轉正，前版 TCO「消費者上限 €15 vs 營運商下限 €25」的剪刀差消失。</t>
        </is>
      </c>
    </row>
    <row r="8">
      <c r="A8" s="28" t="inlineStr">
        <is>
          <t>3. 日本版：法規要求助力比以人力為分母，必須加扭力感測（+US$18–28）與日本規配件（+US$10–12），出廠價升至約 RMB 1,500（+15–20%），屬「適度」；電池規格（252→360Wh）在訂閱側調整，不影響出廠價。</t>
        </is>
      </c>
    </row>
    <row r="9">
      <c r="A9" s="28" t="inlineStr">
        <is>
          <t>4. 消費者側：歐洲 5 年 TCO 本案 €9.9/月約 €1,000 vs Action E200 買斷 €1,199；日本 3 年 TCO ¥1,280/月約 ¥106,000，與 NORUDE ¥104,040 相當但車體歸消費者，低於 POS 平均買斷 ¥130,663，但高於 PELTECH ¥89,980 買斷——日本的價值主張須靠「免電池前置費 + 到期換新 + 失竊補償」而非總價。</t>
        </is>
      </c>
    </row>
    <row r="10">
      <c r="A10" s="28" t="inlineStr"/>
    </row>
    <row r="11">
      <c r="A11" s="29" t="inlineStr">
        <is>
          <t>前提與風險</t>
        </is>
      </c>
    </row>
    <row r="12">
      <c r="A12" s="28" t="inlineStr">
        <is>
          <t>• 馬達（US$42）、電池（US$46）、扭力感測（US$18）無供應商書面報價；三項合計佔不含電池 BOM 35%，為最不透明部分。</t>
        </is>
      </c>
    </row>
    <row r="13">
      <c r="A13" s="28" t="inlineStr">
        <is>
          <t>• 歐洲：中國製整車 AD+CVD 最高約 85–93%，本模型以台灣／越南廠計；越南 EVFTA 優惠稅率與反規避風險待驗證。</t>
        </is>
      </c>
    </row>
    <row r="14">
      <c r="A14" s="28" t="inlineStr">
        <is>
          <t>• 電池訂閱的逆物流須走經銷點／回收點（UN3480），不能一般包裹寄送；2027/2/18 起歐盟電池法可拆換與電池護照義務適用。</t>
        </is>
      </c>
    </row>
    <row r="15">
      <c r="A15" s="28" t="inlineStr">
        <is>
          <t>• 踏頻感測 + 單速在坡地體驗有天花板；齒比建議 42/16（26 吋）或 40/16（700c），以起步為優先。</t>
        </is>
      </c>
    </row>
    <row r="16">
      <c r="A16" s="28" t="inlineStr">
        <is>
          <t>• 台灣內銷：型式審驗以整車（含電池型號）為單位，電池訂閱可在「同型號電池」下操作，但須向公路局確認；車架與三電分離銷售不可行。</t>
        </is>
      </c>
    </row>
    <row r="17">
      <c r="A17" s="28" t="inlineStr"/>
    </row>
    <row r="18">
      <c r="A18" s="30" t="inlineStr">
        <is>
          <t>本表為策略研究試算，非投資建議。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2026-09-21T05:09:47Z</dcterms:created>
  <dcterms:modified xmlns:dcterms="http://purl.org/dc/terms/" xmlns:xsi="http://www.w3.org/2001/XMLSchema-instance" xsi:type="dcterms:W3CDTF">2026-09-21T05:09:47Z</dcterms:modified>
</cp:coreProperties>
</file>