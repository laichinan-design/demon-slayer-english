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摘要" sheetId="1" state="visible" r:id="rId3"/>
    <sheet name="假設" sheetId="2" state="visible" r:id="rId4"/>
    <sheet name="內部成本錨點" sheetId="3" state="visible" r:id="rId5"/>
    <sheet name="外部基準" sheetId="4" state="visible" r:id="rId6"/>
    <sheet name="BOM分析" sheetId="5" state="visible" r:id="rId7"/>
    <sheet name="訂閱模式" sheetId="6" state="visible" r:id="rId8"/>
    <sheet name="敏感度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<sst xmlns="http://schemas.openxmlformats.org/spreadsheetml/2006/main" count="519" uniqueCount="400">
  <si>
    <r>
      <rPr>
        <b val="true"/>
        <sz val="14"/>
        <rFont val="WenQuanYi Zen Hei"/>
        <family val="2"/>
      </rPr>
      <t xml:space="preserve">三電系統 訂閱制 </t>
    </r>
    <r>
      <rPr>
        <b val="true"/>
        <sz val="14"/>
        <rFont val="Arial"/>
        <family val="0"/>
        <charset val="1"/>
      </rPr>
      <t xml:space="preserve">× BOM </t>
    </r>
    <r>
      <rPr>
        <b val="true"/>
        <sz val="14"/>
        <rFont val="WenQuanYi Zen Hei"/>
        <family val="2"/>
      </rPr>
      <t xml:space="preserve">分析｜結論摘要（數字全部連動模型）</t>
    </r>
  </si>
  <si>
    <r>
      <rPr>
        <i val="true"/>
        <sz val="9"/>
        <rFont val="WenQuanYi Zen Hei"/>
        <family val="2"/>
      </rPr>
      <t xml:space="preserve">達方 </t>
    </r>
    <r>
      <rPr>
        <i val="true"/>
        <sz val="9"/>
        <rFont val="Arial"/>
        <family val="0"/>
        <charset val="1"/>
      </rPr>
      <t xml:space="preserve">E-mobility </t>
    </r>
    <r>
      <rPr>
        <i val="true"/>
        <sz val="9"/>
        <rFont val="WenQuanYi Zen Hei"/>
        <family val="2"/>
      </rPr>
      <t xml:space="preserve">三電系統（電池／馬達／電控）產品定義與商業模式評估｜基準日 </t>
    </r>
    <r>
      <rPr>
        <i val="true"/>
        <sz val="9"/>
        <rFont val="Arial"/>
        <family val="0"/>
        <charset val="1"/>
      </rPr>
      <t xml:space="preserve">2026-09-21</t>
    </r>
    <r>
      <rPr>
        <i val="true"/>
        <sz val="9"/>
        <rFont val="WenQuanYi Zen Hei"/>
        <family val="2"/>
      </rPr>
      <t xml:space="preserve">｜非投資建議</t>
    </r>
  </si>
  <si>
    <t xml:space="preserve">指標</t>
  </si>
  <si>
    <r>
      <rPr>
        <b val="true"/>
        <sz val="11"/>
        <color rgb="FFFFFFFF"/>
        <rFont val="Arial"/>
        <family val="0"/>
        <charset val="1"/>
      </rPr>
      <t xml:space="preserve">A </t>
    </r>
    <r>
      <rPr>
        <b val="true"/>
        <sz val="11"/>
        <color rgb="FFFFFFFF"/>
        <rFont val="WenQuanYi Zen Hei"/>
        <family val="2"/>
      </rPr>
      <t xml:space="preserve">都會 </t>
    </r>
    <r>
      <rPr>
        <b val="true"/>
        <sz val="11"/>
        <color rgb="FFFFFFFF"/>
        <rFont val="Arial"/>
        <family val="0"/>
        <charset val="1"/>
      </rPr>
      <t xml:space="preserve">Hub</t>
    </r>
  </si>
  <si>
    <r>
      <rPr>
        <b val="true"/>
        <sz val="11"/>
        <color rgb="FFFFFFFF"/>
        <rFont val="Arial"/>
        <family val="0"/>
        <charset val="1"/>
      </rPr>
      <t xml:space="preserve">B </t>
    </r>
    <r>
      <rPr>
        <b val="true"/>
        <sz val="11"/>
        <color rgb="FFFFFFFF"/>
        <rFont val="WenQuanYi Zen Hei"/>
        <family val="2"/>
      </rPr>
      <t xml:space="preserve">自研中置</t>
    </r>
  </si>
  <si>
    <r>
      <rPr>
        <b val="true"/>
        <sz val="11"/>
        <color rgb="FFFFFFFF"/>
        <rFont val="Arial"/>
        <family val="0"/>
        <charset val="1"/>
      </rPr>
      <t xml:space="preserve">C </t>
    </r>
    <r>
      <rPr>
        <b val="true"/>
        <sz val="11"/>
        <color rgb="FFFFFFFF"/>
        <rFont val="WenQuanYi Zen Hei"/>
        <family val="2"/>
      </rPr>
      <t xml:space="preserve">外購高階</t>
    </r>
  </si>
  <si>
    <r>
      <rPr>
        <b val="true"/>
        <sz val="10"/>
        <rFont val="WenQuanYi Zen Hei"/>
        <family val="2"/>
      </rPr>
      <t xml:space="preserve">三電系統總成本 </t>
    </r>
    <r>
      <rPr>
        <b val="true"/>
        <sz val="10"/>
        <rFont val="Arial"/>
        <family val="0"/>
        <charset val="1"/>
      </rPr>
      <t xml:space="preserve">NT$/</t>
    </r>
    <r>
      <rPr>
        <b val="true"/>
        <sz val="10"/>
        <rFont val="WenQuanYi Zen Hei"/>
        <family val="2"/>
      </rPr>
      <t xml:space="preserve">套</t>
    </r>
  </si>
  <si>
    <r>
      <rPr>
        <b val="true"/>
        <sz val="10"/>
        <rFont val="WenQuanYi Zen Hei"/>
        <family val="2"/>
      </rPr>
      <t xml:space="preserve">對 </t>
    </r>
    <r>
      <rPr>
        <b val="true"/>
        <sz val="10"/>
        <rFont val="Arial"/>
        <family val="0"/>
        <charset val="1"/>
      </rPr>
      <t xml:space="preserve">OEM </t>
    </r>
    <r>
      <rPr>
        <b val="true"/>
        <sz val="10"/>
        <rFont val="WenQuanYi Zen Hei"/>
        <family val="2"/>
      </rPr>
      <t xml:space="preserve">目標售價 </t>
    </r>
    <r>
      <rPr>
        <b val="true"/>
        <sz val="10"/>
        <rFont val="Arial"/>
        <family val="0"/>
        <charset val="1"/>
      </rPr>
      <t xml:space="preserve">NT$/</t>
    </r>
    <r>
      <rPr>
        <b val="true"/>
        <sz val="10"/>
        <rFont val="WenQuanYi Zen Hei"/>
        <family val="2"/>
      </rPr>
      <t xml:space="preserve">套</t>
    </r>
  </si>
  <si>
    <r>
      <rPr>
        <b val="true"/>
        <sz val="10"/>
        <rFont val="WenQuanYi Zen Hei"/>
        <family val="2"/>
      </rPr>
      <t xml:space="preserve">目標售價 </t>
    </r>
    <r>
      <rPr>
        <b val="true"/>
        <sz val="10"/>
        <rFont val="Arial"/>
        <family val="0"/>
        <charset val="1"/>
      </rPr>
      <t xml:space="preserve">US$/</t>
    </r>
    <r>
      <rPr>
        <b val="true"/>
        <sz val="10"/>
        <rFont val="WenQuanYi Zen Hei"/>
        <family val="2"/>
      </rPr>
      <t xml:space="preserve">套</t>
    </r>
  </si>
  <si>
    <r>
      <rPr>
        <b val="true"/>
        <sz val="10"/>
        <rFont val="WenQuanYi Zen Hei"/>
        <family val="2"/>
      </rPr>
      <t xml:space="preserve">市場對照 </t>
    </r>
    <r>
      <rPr>
        <b val="true"/>
        <sz val="10"/>
        <rFont val="Arial"/>
        <family val="0"/>
        <charset val="1"/>
      </rPr>
      <t xml:space="preserve">OEM </t>
    </r>
    <r>
      <rPr>
        <b val="true"/>
        <sz val="10"/>
        <rFont val="WenQuanYi Zen Hei"/>
        <family val="2"/>
      </rPr>
      <t xml:space="preserve">價 </t>
    </r>
    <r>
      <rPr>
        <b val="true"/>
        <sz val="10"/>
        <rFont val="Arial"/>
        <family val="0"/>
        <charset val="1"/>
      </rPr>
      <t xml:space="preserve">NT$/</t>
    </r>
    <r>
      <rPr>
        <b val="true"/>
        <sz val="10"/>
        <rFont val="WenQuanYi Zen Hei"/>
        <family val="2"/>
      </rPr>
      <t xml:space="preserve">套</t>
    </r>
  </si>
  <si>
    <t xml:space="preserve">電池佔系統成本</t>
  </si>
  <si>
    <t xml:space="preserve">馬達佔系統成本</t>
  </si>
  <si>
    <r>
      <rPr>
        <b val="true"/>
        <sz val="11"/>
        <color rgb="FFFFFFFF"/>
        <rFont val="WenQuanYi Zen Hei"/>
        <family val="2"/>
      </rPr>
      <t xml:space="preserve">商業模式（架構 </t>
    </r>
    <r>
      <rPr>
        <b val="true"/>
        <sz val="11"/>
        <color rgb="FFFFFFFF"/>
        <rFont val="Arial"/>
        <family val="0"/>
        <charset val="1"/>
      </rPr>
      <t xml:space="preserve">B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</si>
  <si>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期間收入 </t>
    </r>
    <r>
      <rPr>
        <b val="true"/>
        <sz val="11"/>
        <color rgb="FFFFFFFF"/>
        <rFont val="Arial"/>
        <family val="0"/>
        <charset val="1"/>
      </rPr>
      <t xml:space="preserve">NT$/</t>
    </r>
    <r>
      <rPr>
        <b val="true"/>
        <sz val="11"/>
        <color rgb="FFFFFFFF"/>
        <rFont val="WenQuanYi Zen Hei"/>
        <family val="2"/>
      </rPr>
      <t xml:space="preserve">套</t>
    </r>
  </si>
  <si>
    <r>
      <rPr>
        <b val="true"/>
        <sz val="11"/>
        <color rgb="FFFFFFFF"/>
        <rFont val="WenQuanYi Zen Hei"/>
        <family val="2"/>
      </rPr>
      <t xml:space="preserve">期間毛利 </t>
    </r>
    <r>
      <rPr>
        <b val="true"/>
        <sz val="11"/>
        <color rgb="FFFFFFFF"/>
        <rFont val="Arial"/>
        <family val="0"/>
        <charset val="1"/>
      </rPr>
      <t xml:space="preserve">NT$/</t>
    </r>
    <r>
      <rPr>
        <b val="true"/>
        <sz val="11"/>
        <color rgb="FFFFFFFF"/>
        <rFont val="WenQuanYi Zen Hei"/>
        <family val="2"/>
      </rPr>
      <t xml:space="preserve">套</t>
    </r>
  </si>
  <si>
    <r>
      <rPr>
        <b val="true"/>
        <sz val="11"/>
        <color rgb="FFFFFFFF"/>
        <rFont val="Arial"/>
        <family val="0"/>
        <charset val="1"/>
      </rPr>
      <t xml:space="preserve">vs M0 </t>
    </r>
    <r>
      <rPr>
        <b val="true"/>
        <sz val="11"/>
        <color rgb="FFFFFFFF"/>
        <rFont val="WenQuanYi Zen Hei"/>
        <family val="2"/>
      </rPr>
      <t xml:space="preserve">毛利</t>
    </r>
  </si>
  <si>
    <r>
      <rPr>
        <b val="true"/>
        <sz val="11"/>
        <color rgb="FFFFFFFF"/>
        <rFont val="WenQuanYi Zen Hei"/>
        <family val="2"/>
      </rPr>
      <t xml:space="preserve">前期資本占用 </t>
    </r>
    <r>
      <rPr>
        <b val="true"/>
        <sz val="11"/>
        <color rgb="FFFFFFFF"/>
        <rFont val="Arial"/>
        <family val="0"/>
        <charset val="1"/>
      </rPr>
      <t xml:space="preserve">NT$/</t>
    </r>
    <r>
      <rPr>
        <b val="true"/>
        <sz val="11"/>
        <color rgb="FFFFFFFF"/>
        <rFont val="WenQuanYi Zen Hei"/>
        <family val="2"/>
      </rPr>
      <t xml:space="preserve">套</t>
    </r>
  </si>
  <si>
    <t xml:space="preserve">關鍵讀法</t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</si>
  <si>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WenQuanYi Zen Hei"/>
        <family val="2"/>
      </rPr>
      <t xml:space="preserve">電池與馬達合計約六成系統成本，電芯 </t>
    </r>
    <r>
      <rPr>
        <sz val="10"/>
        <color rgb="FF000000"/>
        <rFont val="Arial"/>
        <family val="0"/>
        <charset val="1"/>
      </rPr>
      <t xml:space="preserve">NT$/Wh </t>
    </r>
    <r>
      <rPr>
        <sz val="10"/>
        <color rgb="FF000000"/>
        <rFont val="WenQuanYi Zen Hei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BOM </t>
    </r>
    <r>
      <rPr>
        <sz val="10"/>
        <color rgb="FF000000"/>
        <rFont val="WenQuanYi Zen Hei"/>
        <family val="2"/>
      </rPr>
      <t xml:space="preserve">最敏感變數；『採用電芯來源』開關可切換進口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中系電芯。架構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BESV </t>
    </r>
    <r>
      <rPr>
        <sz val="10"/>
        <color rgb="FF000000"/>
        <rFont val="WenQuanYi Zen Hei"/>
        <family val="2"/>
      </rPr>
      <t xml:space="preserve">現有採購價計算高出中系對照一倍，低價段必須經蘇州平台重新議價或整包外購。</t>
    </r>
  </si>
  <si>
    <r>
      <rPr>
        <sz val="10"/>
        <color rgb="FF000000"/>
        <rFont val="Arial"/>
        <family val="0"/>
        <charset val="1"/>
      </rPr>
      <t xml:space="preserve">2. </t>
    </r>
    <r>
      <rPr>
        <sz val="10"/>
        <color rgb="FF000000"/>
        <rFont val="WenQuanYi Zen Hei"/>
        <family val="2"/>
      </rPr>
      <t xml:space="preserve">自研中置馬達的價值不在省成本（</t>
    </r>
    <r>
      <rPr>
        <sz val="10"/>
        <color rgb="FF000000"/>
        <rFont val="Arial"/>
        <family val="0"/>
        <charset val="1"/>
      </rPr>
      <t xml:space="preserve">vs Bafang MAX </t>
    </r>
    <r>
      <rPr>
        <sz val="10"/>
        <color rgb="FF000000"/>
        <rFont val="WenQuanYi Zen Hei"/>
        <family val="2"/>
      </rPr>
      <t xml:space="preserve">外購差額有限），而在把控制器、扭力感測、</t>
    </r>
    <r>
      <rPr>
        <sz val="10"/>
        <color rgb="FF000000"/>
        <rFont val="Arial"/>
        <family val="0"/>
        <charset val="1"/>
      </rPr>
      <t xml:space="preserve">CAN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IoT </t>
    </r>
    <r>
      <rPr>
        <sz val="10"/>
        <color rgb="FF000000"/>
        <rFont val="WenQuanYi Zen Hei"/>
        <family val="2"/>
      </rPr>
      <t xml:space="preserve">整合進驅動單元，取得訂閱制所需的資料入口。</t>
    </r>
  </si>
  <si>
    <r>
      <rPr>
        <sz val="10"/>
        <color rgb="FF000000"/>
        <rFont val="Arial"/>
        <family val="0"/>
        <charset val="1"/>
      </rPr>
      <t xml:space="preserve">3. M1 </t>
    </r>
    <r>
      <rPr>
        <sz val="10"/>
        <color rgb="FF000000"/>
        <rFont val="WenQuanYi Zen Hei"/>
        <family val="2"/>
      </rPr>
      <t xml:space="preserve">只有在 </t>
    </r>
    <r>
      <rPr>
        <sz val="10"/>
        <color rgb="FF000000"/>
        <rFont val="Arial"/>
        <family val="0"/>
        <charset val="1"/>
      </rPr>
      <t xml:space="preserve">IoT </t>
    </r>
    <r>
      <rPr>
        <sz val="10"/>
        <color rgb="FF000000"/>
        <rFont val="WenQuanYi Zen Hei"/>
        <family val="2"/>
      </rPr>
      <t xml:space="preserve">硬體隨售價轉嫁（</t>
    </r>
    <r>
      <rPr>
        <sz val="10"/>
        <color rgb="FF000000"/>
        <rFont val="Arial"/>
        <family val="0"/>
        <charset val="1"/>
      </rPr>
      <t xml:space="preserve">Bosch ConnectModule </t>
    </r>
    <r>
      <rPr>
        <sz val="10"/>
        <color rgb="FF000000"/>
        <rFont val="WenQuanYi Zen Hei"/>
        <family val="2"/>
      </rPr>
      <t xml:space="preserve">模式）時才是正貢獻，達方自行吸收則需轉換率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M2/M3 </t>
    </r>
    <r>
      <rPr>
        <sz val="10"/>
        <color rgb="FF000000"/>
        <rFont val="WenQuanYi Zen Hei"/>
        <family val="2"/>
      </rPr>
      <t xml:space="preserve">毛利倍數高但把達方變成資產持有者，需融資夥伴、逆物流與通路（</t>
    </r>
    <r>
      <rPr>
        <sz val="10"/>
        <color rgb="FF000000"/>
        <rFont val="Arial"/>
        <family val="0"/>
        <charset val="1"/>
      </rPr>
      <t xml:space="preserve">GROFA</t>
    </r>
    <r>
      <rPr>
        <sz val="10"/>
        <color rgb="FF000000"/>
        <rFont val="WenQuanYi Zen Hei"/>
        <family val="2"/>
      </rPr>
      <t xml:space="preserve">）或車隊客戶。</t>
    </r>
  </si>
  <si>
    <r>
      <rPr>
        <sz val="10"/>
        <color rgb="FF000000"/>
        <rFont val="Arial"/>
        <family val="0"/>
        <charset val="1"/>
      </rPr>
      <t xml:space="preserve">4. </t>
    </r>
    <r>
      <rPr>
        <sz val="10"/>
        <color rgb="FF000000"/>
        <rFont val="WenQuanYi Zen Hei"/>
        <family val="2"/>
      </rPr>
      <t xml:space="preserve">建議路徑：架構 </t>
    </r>
    <r>
      <rPr>
        <sz val="10"/>
        <color rgb="FF000000"/>
        <rFont val="Arial"/>
        <family val="0"/>
        <charset val="1"/>
      </rPr>
      <t xml:space="preserve">B + IoT </t>
    </r>
    <r>
      <rPr>
        <sz val="10"/>
        <color rgb="FF000000"/>
        <rFont val="WenQuanYi Zen Hei"/>
        <family val="2"/>
      </rPr>
      <t xml:space="preserve">標配 → </t>
    </r>
    <r>
      <rPr>
        <sz val="10"/>
        <color rgb="FF000000"/>
        <rFont val="Arial"/>
        <family val="0"/>
        <charset val="1"/>
      </rPr>
      <t xml:space="preserve">M1 </t>
    </r>
    <r>
      <rPr>
        <sz val="10"/>
        <color rgb="FF000000"/>
        <rFont val="WenQuanYi Zen Hei"/>
        <family val="2"/>
      </rPr>
      <t xml:space="preserve">先行（品牌車 </t>
    </r>
    <r>
      <rPr>
        <sz val="10"/>
        <color rgb="FF000000"/>
        <rFont val="Arial"/>
        <family val="0"/>
        <charset val="1"/>
      </rPr>
      <t xml:space="preserve">BESV/Mondraker/GROFA </t>
    </r>
    <r>
      <rPr>
        <sz val="10"/>
        <color rgb="FF000000"/>
        <rFont val="WenQuanYi Zen Hei"/>
        <family val="2"/>
      </rPr>
      <t xml:space="preserve">通路），</t>
    </r>
    <r>
      <rPr>
        <sz val="10"/>
        <color rgb="FF000000"/>
        <rFont val="Arial"/>
        <family val="0"/>
        <charset val="1"/>
      </rPr>
      <t xml:space="preserve">M3 </t>
    </r>
    <r>
      <rPr>
        <sz val="10"/>
        <color rgb="FF000000"/>
        <rFont val="WenQuanYi Zen Hei"/>
        <family val="2"/>
      </rPr>
      <t xml:space="preserve">針對歐洲 </t>
    </r>
    <r>
      <rPr>
        <sz val="10"/>
        <color rgb="FF000000"/>
        <rFont val="Arial"/>
        <family val="0"/>
        <charset val="1"/>
      </rPr>
      <t xml:space="preserve">cargo/</t>
    </r>
    <r>
      <rPr>
        <sz val="10"/>
        <color rgb="FF000000"/>
        <rFont val="WenQuanYi Zen Hei"/>
        <family val="2"/>
      </rPr>
      <t xml:space="preserve">外送車隊試點，</t>
    </r>
    <r>
      <rPr>
        <sz val="10"/>
        <color rgb="FF000000"/>
        <rFont val="Arial"/>
        <family val="0"/>
        <charset val="1"/>
      </rPr>
      <t xml:space="preserve">M2 </t>
    </r>
    <r>
      <rPr>
        <sz val="10"/>
        <color rgb="FF000000"/>
        <rFont val="WenQuanYi Zen Hei"/>
        <family val="2"/>
      </rPr>
      <t xml:space="preserve">待電池法規（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電池護照）與殘值市場成熟後再推。</t>
    </r>
  </si>
  <si>
    <r>
      <rPr>
        <b val="true"/>
        <sz val="14"/>
        <rFont val="WenQuanYi Zen Hei"/>
        <family val="2"/>
      </rPr>
      <t xml:space="preserve">三電系統 訂閱制 </t>
    </r>
    <r>
      <rPr>
        <b val="true"/>
        <sz val="14"/>
        <rFont val="Arial"/>
        <family val="0"/>
        <charset val="1"/>
      </rPr>
      <t xml:space="preserve">× BOM </t>
    </r>
    <r>
      <rPr>
        <b val="true"/>
        <sz val="14"/>
        <rFont val="WenQuanYi Zen Hei"/>
        <family val="2"/>
      </rPr>
      <t xml:space="preserve">分析模型｜全域假設</t>
    </r>
  </si>
  <si>
    <r>
      <rPr>
        <i val="true"/>
        <sz val="9"/>
        <rFont val="WenQuanYi Zen Hei"/>
        <family val="2"/>
      </rPr>
      <t xml:space="preserve">圖例：藍字＝可修改輸入；黑字＝公式；綠字＝跨表連結；黃底＝關鍵假設。金額單位 </t>
    </r>
    <r>
      <rPr>
        <i val="true"/>
        <sz val="9"/>
        <rFont val="Arial"/>
        <family val="0"/>
        <charset val="1"/>
      </rPr>
      <t xml:space="preserve">NT$</t>
    </r>
    <r>
      <rPr>
        <i val="true"/>
        <sz val="9"/>
        <rFont val="WenQuanYi Zen Hei"/>
        <family val="2"/>
      </rPr>
      <t xml:space="preserve">，日期基準 </t>
    </r>
    <r>
      <rPr>
        <i val="true"/>
        <sz val="9"/>
        <rFont val="Arial"/>
        <family val="0"/>
        <charset val="1"/>
      </rPr>
      <t xml:space="preserve">2026-09-21</t>
    </r>
    <r>
      <rPr>
        <i val="true"/>
        <sz val="9"/>
        <rFont val="WenQuanYi Zen Hei"/>
        <family val="2"/>
      </rPr>
      <t xml:space="preserve">。</t>
    </r>
  </si>
  <si>
    <t xml:space="preserve">參數</t>
  </si>
  <si>
    <t xml:space="preserve">數值</t>
  </si>
  <si>
    <t xml:space="preserve">單位</t>
  </si>
  <si>
    <r>
      <rPr>
        <b val="true"/>
        <sz val="11"/>
        <color rgb="FFFFFFFF"/>
        <rFont val="WenQuanYi Zen Hei"/>
        <family val="2"/>
      </rPr>
      <t xml:space="preserve">說明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WenQuanYi Zen Hei"/>
        <family val="2"/>
      </rPr>
      <t xml:space="preserve">來源</t>
    </r>
  </si>
  <si>
    <r>
      <rPr>
        <b val="true"/>
        <sz val="10"/>
        <rFont val="Arial"/>
        <family val="0"/>
        <charset val="1"/>
      </rPr>
      <t xml:space="preserve">USD/NTD </t>
    </r>
    <r>
      <rPr>
        <b val="true"/>
        <sz val="10"/>
        <rFont val="WenQuanYi Zen Hei"/>
        <family val="2"/>
      </rPr>
      <t xml:space="preserve">匯率</t>
    </r>
  </si>
  <si>
    <t xml:space="preserve">NT$/US$</t>
  </si>
  <si>
    <r>
      <rPr>
        <sz val="10"/>
        <color rgb="FF000000"/>
        <rFont val="WenQuanYi Zen Hei"/>
        <family val="2"/>
      </rPr>
      <t xml:space="preserve">假設值（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附近匯率，請依財務部月結匯率更新）</t>
    </r>
  </si>
  <si>
    <r>
      <rPr>
        <b val="true"/>
        <sz val="10"/>
        <rFont val="Arial"/>
        <family val="0"/>
        <charset val="1"/>
      </rPr>
      <t xml:space="preserve">EUR/NTD </t>
    </r>
    <r>
      <rPr>
        <b val="true"/>
        <sz val="10"/>
        <rFont val="WenQuanYi Zen Hei"/>
        <family val="2"/>
      </rPr>
      <t xml:space="preserve">匯率</t>
    </r>
  </si>
  <si>
    <t xml:space="preserve">NT$/€</t>
  </si>
  <si>
    <t xml:space="preserve">假設值（同上）</t>
  </si>
  <si>
    <t xml:space="preserve">年產量（套）</t>
  </si>
  <si>
    <r>
      <rPr>
        <sz val="10"/>
        <color rgb="FF000000"/>
        <rFont val="WenQuanYi Zen Hei"/>
        <family val="2"/>
      </rPr>
      <t xml:space="preserve">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</si>
  <si>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情境假設：第一階段三電系統年出貨量，用於認證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模具攤提</t>
    </r>
  </si>
  <si>
    <r>
      <rPr>
        <b val="true"/>
        <sz val="10"/>
        <rFont val="WenQuanYi Zen Hei"/>
        <family val="2"/>
      </rPr>
      <t xml:space="preserve">製造轉換成本率（組裝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WenQuanYi Zen Hei"/>
        <family val="2"/>
      </rPr>
      <t xml:space="preserve">測試）</t>
    </r>
  </si>
  <si>
    <r>
      <rPr>
        <sz val="10"/>
        <color rgb="FF000000"/>
        <rFont val="Arial"/>
        <family val="0"/>
        <charset val="1"/>
      </rPr>
      <t xml:space="preserve">% of </t>
    </r>
    <r>
      <rPr>
        <sz val="10"/>
        <color rgb="FF000000"/>
        <rFont val="WenQuanYi Zen Hei"/>
        <family val="2"/>
      </rPr>
      <t xml:space="preserve">材料</t>
    </r>
  </si>
  <si>
    <r>
      <rPr>
        <sz val="10"/>
        <color rgb="FF000000"/>
        <rFont val="WenQuanYi Zen Hei"/>
        <family val="2"/>
      </rPr>
      <t xml:space="preserve">假設：蘇州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越南輕組裝，材料成本的 </t>
    </r>
    <r>
      <rPr>
        <sz val="10"/>
        <color rgb="FF000000"/>
        <rFont val="Arial"/>
        <family val="0"/>
        <charset val="1"/>
      </rPr>
      <t xml:space="preserve">8%</t>
    </r>
  </si>
  <si>
    <t xml:space="preserve">報廢與良率損失率</t>
  </si>
  <si>
    <t xml:space="preserve">假設</t>
  </si>
  <si>
    <r>
      <rPr>
        <b val="true"/>
        <sz val="10"/>
        <rFont val="WenQuanYi Zen Hei"/>
        <family val="2"/>
      </rPr>
      <t xml:space="preserve">認證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WenQuanYi Zen Hei"/>
        <family val="2"/>
      </rPr>
      <t xml:space="preserve">模具一次性費用</t>
    </r>
  </si>
  <si>
    <t xml:space="preserve">NT$</t>
  </si>
  <si>
    <r>
      <rPr>
        <sz val="10"/>
        <color rgb="FF000000"/>
        <rFont val="WenQuanYi Zen Hei"/>
        <family val="2"/>
      </rPr>
      <t xml:space="preserve">假設：</t>
    </r>
    <r>
      <rPr>
        <sz val="10"/>
        <color rgb="FF000000"/>
        <rFont val="Arial"/>
        <family val="0"/>
        <charset val="1"/>
      </rPr>
      <t xml:space="preserve">EN 15194 / UN38.3 / UL 2849 / CE-EMC + </t>
    </r>
    <r>
      <rPr>
        <sz val="10"/>
        <color rgb="FF000000"/>
        <rFont val="WenQuanYi Zen Hei"/>
        <family val="2"/>
      </rPr>
      <t xml:space="preserve">馬達壓鑄與電池外殼模具，合計約 </t>
    </r>
    <r>
      <rPr>
        <sz val="10"/>
        <color rgb="FF000000"/>
        <rFont val="Arial"/>
        <family val="0"/>
        <charset val="1"/>
      </rPr>
      <t xml:space="preserve">NT$9M</t>
    </r>
  </si>
  <si>
    <t xml:space="preserve">認證攤提年限</t>
  </si>
  <si>
    <t xml:space="preserve">年</t>
  </si>
  <si>
    <r>
      <rPr>
        <b val="true"/>
        <sz val="10"/>
        <rFont val="WenQuanYi Zen Hei"/>
        <family val="2"/>
      </rPr>
      <t xml:space="preserve">目標系統毛利率（對 </t>
    </r>
    <r>
      <rPr>
        <b val="true"/>
        <sz val="10"/>
        <rFont val="Arial"/>
        <family val="0"/>
        <charset val="1"/>
      </rPr>
      <t xml:space="preserve">OEM </t>
    </r>
    <r>
      <rPr>
        <b val="true"/>
        <sz val="10"/>
        <rFont val="WenQuanYi Zen Hei"/>
        <family val="2"/>
      </rPr>
      <t xml:space="preserve">售價）</t>
    </r>
  </si>
  <si>
    <t xml:space="preserve">%</t>
  </si>
  <si>
    <r>
      <rPr>
        <sz val="10"/>
        <color rgb="FF000000"/>
        <rFont val="WenQuanYi Zen Hei"/>
        <family val="2"/>
      </rPr>
      <t xml:space="preserve">假設：</t>
    </r>
    <r>
      <rPr>
        <sz val="10"/>
        <color rgb="FF000000"/>
        <rFont val="Arial"/>
        <family val="0"/>
        <charset val="1"/>
      </rPr>
      <t xml:space="preserve">8/28 </t>
    </r>
    <r>
      <rPr>
        <sz val="10"/>
        <color rgb="FF000000"/>
        <rFont val="WenQuanYi Zen Hei"/>
        <family val="2"/>
      </rPr>
      <t xml:space="preserve">會議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要求「</t>
    </r>
    <r>
      <rPr>
        <sz val="10"/>
        <color rgb="FF000000"/>
        <rFont val="Arial"/>
        <family val="0"/>
        <charset val="1"/>
      </rPr>
      <t xml:space="preserve">15%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12% </t>
    </r>
    <r>
      <rPr>
        <sz val="10"/>
        <color rgb="FF000000"/>
        <rFont val="WenQuanYi Zen Hei"/>
        <family val="2"/>
      </rPr>
      <t xml:space="preserve">以上、比市場好才做」；三電系統設 </t>
    </r>
    <r>
      <rPr>
        <sz val="10"/>
        <color rgb="FF000000"/>
        <rFont val="Arial"/>
        <family val="0"/>
        <charset val="1"/>
      </rPr>
      <t xml:space="preserve">28%</t>
    </r>
    <r>
      <rPr>
        <sz val="10"/>
        <color rgb="FF000000"/>
        <rFont val="WenQuanYi Zen Hei"/>
        <family val="2"/>
      </rPr>
      <t xml:space="preserve">（八方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毛利率約 </t>
    </r>
    <r>
      <rPr>
        <sz val="10"/>
        <color rgb="FF000000"/>
        <rFont val="Arial"/>
        <family val="0"/>
        <charset val="1"/>
      </rPr>
      <t xml:space="preserve">25–30% </t>
    </r>
    <r>
      <rPr>
        <sz val="10"/>
        <color rgb="FF000000"/>
        <rFont val="WenQuanYi Zen Hei"/>
        <family val="2"/>
      </rPr>
      <t xml:space="preserve">區間）</t>
    </r>
  </si>
  <si>
    <r>
      <rPr>
        <b val="true"/>
        <sz val="10"/>
        <rFont val="WenQuanYi Zen Hei"/>
        <family val="2"/>
      </rPr>
      <t xml:space="preserve">資金成本（</t>
    </r>
    <r>
      <rPr>
        <b val="true"/>
        <sz val="10"/>
        <rFont val="Arial"/>
        <family val="0"/>
        <charset val="1"/>
      </rPr>
      <t xml:space="preserve">WACC / </t>
    </r>
    <r>
      <rPr>
        <b val="true"/>
        <sz val="10"/>
        <rFont val="WenQuanYi Zen Hei"/>
        <family val="2"/>
      </rPr>
      <t xml:space="preserve">訂閱折現率）</t>
    </r>
  </si>
  <si>
    <r>
      <rPr>
        <sz val="10"/>
        <color rgb="FF000000"/>
        <rFont val="Arial"/>
        <family val="0"/>
        <charset val="1"/>
      </rPr>
      <t xml:space="preserve">%/</t>
    </r>
    <r>
      <rPr>
        <sz val="10"/>
        <color rgb="FF000000"/>
        <rFont val="WenQuanYi Zen Hei"/>
        <family val="2"/>
      </rPr>
      <t xml:space="preserve">年</t>
    </r>
  </si>
  <si>
    <r>
      <rPr>
        <b val="true"/>
        <sz val="10"/>
        <rFont val="Arial"/>
        <family val="0"/>
        <charset val="1"/>
      </rPr>
      <t xml:space="preserve">21700 </t>
    </r>
    <r>
      <rPr>
        <b val="true"/>
        <sz val="10"/>
        <rFont val="WenQuanYi Zen Hei"/>
        <family val="2"/>
      </rPr>
      <t xml:space="preserve">電芯單價（進口／台系）</t>
    </r>
  </si>
  <si>
    <t xml:space="preserve">NT$/Wh</t>
  </si>
  <si>
    <t xml:space="preserve">外部基準：見『外部基準』表</t>
  </si>
  <si>
    <r>
      <rPr>
        <b val="true"/>
        <sz val="10"/>
        <rFont val="Arial"/>
        <family val="0"/>
        <charset val="1"/>
      </rPr>
      <t xml:space="preserve">21700 </t>
    </r>
    <r>
      <rPr>
        <b val="true"/>
        <sz val="10"/>
        <rFont val="WenQuanYi Zen Hei"/>
        <family val="2"/>
      </rPr>
      <t xml:space="preserve">電芯單價（中系）</t>
    </r>
  </si>
  <si>
    <r>
      <rPr>
        <b val="true"/>
        <sz val="10"/>
        <rFont val="WenQuanYi Zen Hei"/>
        <family val="2"/>
      </rPr>
      <t xml:space="preserve">採用電芯來源（</t>
    </r>
    <r>
      <rPr>
        <b val="true"/>
        <sz val="10"/>
        <rFont val="Arial"/>
        <family val="0"/>
        <charset val="1"/>
      </rPr>
      <t xml:space="preserve">1=</t>
    </r>
    <r>
      <rPr>
        <b val="true"/>
        <sz val="10"/>
        <rFont val="WenQuanYi Zen Hei"/>
        <family val="2"/>
      </rPr>
      <t xml:space="preserve">進口，</t>
    </r>
    <r>
      <rPr>
        <b val="true"/>
        <sz val="10"/>
        <rFont val="Arial"/>
        <family val="0"/>
        <charset val="1"/>
      </rPr>
      <t xml:space="preserve">2=</t>
    </r>
    <r>
      <rPr>
        <b val="true"/>
        <sz val="10"/>
        <rFont val="WenQuanYi Zen Hei"/>
        <family val="2"/>
      </rPr>
      <t xml:space="preserve">中系）</t>
    </r>
  </si>
  <si>
    <t xml:space="preserve">選項</t>
  </si>
  <si>
    <r>
      <rPr>
        <sz val="10"/>
        <color rgb="FF000000"/>
        <rFont val="WenQuanYi Zen Hei"/>
        <family val="2"/>
      </rPr>
      <t xml:space="preserve">切換電池 </t>
    </r>
    <r>
      <rPr>
        <sz val="10"/>
        <color rgb="FF000000"/>
        <rFont val="Arial"/>
        <family val="0"/>
        <charset val="1"/>
      </rPr>
      <t xml:space="preserve">BOM </t>
    </r>
    <r>
      <rPr>
        <sz val="10"/>
        <color rgb="FF000000"/>
        <rFont val="WenQuanYi Zen Hei"/>
        <family val="2"/>
      </rPr>
      <t xml:space="preserve">的電芯單價</t>
    </r>
  </si>
  <si>
    <r>
      <rPr>
        <b val="true"/>
        <sz val="14"/>
        <rFont val="Arial"/>
        <family val="0"/>
        <charset val="1"/>
      </rPr>
      <t xml:space="preserve">BESV / </t>
    </r>
    <r>
      <rPr>
        <b val="true"/>
        <sz val="14"/>
        <rFont val="WenQuanYi Zen Hei"/>
        <family val="2"/>
      </rPr>
      <t xml:space="preserve">達方 </t>
    </r>
    <r>
      <rPr>
        <b val="true"/>
        <sz val="14"/>
        <rFont val="Arial"/>
        <family val="0"/>
        <charset val="1"/>
      </rPr>
      <t xml:space="preserve">E-mobility </t>
    </r>
    <r>
      <rPr>
        <b val="true"/>
        <sz val="14"/>
        <rFont val="WenQuanYi Zen Hei"/>
        <family val="2"/>
      </rPr>
      <t xml:space="preserve">內部零件單位成本錨點（</t>
    </r>
    <r>
      <rPr>
        <b val="true"/>
        <sz val="14"/>
        <rFont val="Arial"/>
        <family val="0"/>
        <charset val="1"/>
      </rPr>
      <t xml:space="preserve">NT$</t>
    </r>
    <r>
      <rPr>
        <b val="true"/>
        <sz val="14"/>
        <rFont val="WenQuanYi Zen Hei"/>
        <family val="2"/>
      </rPr>
      <t xml:space="preserve">）</t>
    </r>
  </si>
  <si>
    <r>
      <rPr>
        <i val="true"/>
        <sz val="9"/>
        <rFont val="WenQuanYi Zen Hei"/>
        <family val="2"/>
      </rPr>
      <t xml:space="preserve">來源：確認呆料</t>
    </r>
    <r>
      <rPr>
        <i val="true"/>
        <sz val="9"/>
        <rFont val="Arial"/>
        <family val="0"/>
        <charset val="1"/>
      </rPr>
      <t xml:space="preserve">list-20260630.xlsx</t>
    </r>
    <r>
      <rPr>
        <i val="true"/>
        <sz val="9"/>
        <rFont val="WenQuanYi Zen Hei"/>
        <family val="2"/>
      </rPr>
      <t xml:space="preserve">（</t>
    </r>
    <r>
      <rPr>
        <i val="true"/>
        <sz val="9"/>
        <rFont val="Arial"/>
        <family val="0"/>
        <charset val="1"/>
      </rPr>
      <t xml:space="preserve">BESV 2026/06 </t>
    </r>
    <r>
      <rPr>
        <i val="true"/>
        <sz val="9"/>
        <rFont val="WenQuanYi Zen Hei"/>
        <family val="2"/>
      </rPr>
      <t xml:space="preserve">庫存單位成本；含舊世代與小量採購價，屬保守偏高之錨點，非最新量產報價）</t>
    </r>
  </si>
  <si>
    <t xml:space="preserve">類別</t>
  </si>
  <si>
    <t xml:space="preserve">品項（庫存描述節錄）</t>
  </si>
  <si>
    <r>
      <rPr>
        <b val="true"/>
        <sz val="11"/>
        <color rgb="FFFFFFFF"/>
        <rFont val="WenQuanYi Zen Hei"/>
        <family val="2"/>
      </rPr>
      <t xml:space="preserve">單位成本 </t>
    </r>
    <r>
      <rPr>
        <b val="true"/>
        <sz val="11"/>
        <color rgb="FFFFFFFF"/>
        <rFont val="Arial"/>
        <family val="0"/>
        <charset val="1"/>
      </rPr>
      <t xml:space="preserve">NT$</t>
    </r>
  </si>
  <si>
    <t xml:space="preserve">庫存量</t>
  </si>
  <si>
    <t xml:space="preserve">模型用途</t>
  </si>
  <si>
    <t xml:space="preserve">中置馬達</t>
  </si>
  <si>
    <r>
      <rPr>
        <sz val="10"/>
        <color rgb="FF000000"/>
        <rFont val="Arial"/>
        <family val="0"/>
        <charset val="1"/>
      </rPr>
      <t xml:space="preserve">Shimano STEPS E8000 (KDUE8000M) 250W </t>
    </r>
    <r>
      <rPr>
        <sz val="10"/>
        <color rgb="FF000000"/>
        <rFont val="WenQuanYi Zen Hei"/>
        <family val="2"/>
      </rPr>
      <t xml:space="preserve">中置馬達</t>
    </r>
  </si>
  <si>
    <t xml:space="preserve">高階外購中置馬達成本上限</t>
  </si>
  <si>
    <r>
      <rPr>
        <sz val="10"/>
        <color rgb="FF000000"/>
        <rFont val="Arial"/>
        <family val="0"/>
        <charset val="1"/>
      </rPr>
      <t xml:space="preserve">Bafang MAX Drive 250W </t>
    </r>
    <r>
      <rPr>
        <sz val="10"/>
        <color rgb="FF000000"/>
        <rFont val="WenQuanYi Zen Hei"/>
        <family val="2"/>
      </rPr>
      <t xml:space="preserve">中置馬達 </t>
    </r>
    <r>
      <rPr>
        <sz val="10"/>
        <color rgb="FF000000"/>
        <rFont val="Arial"/>
        <family val="0"/>
        <charset val="1"/>
      </rPr>
      <t xml:space="preserve">(8FUN)</t>
    </r>
  </si>
  <si>
    <r>
      <rPr>
        <sz val="10"/>
        <color rgb="FF000000"/>
        <rFont val="WenQuanYi Zen Hei"/>
        <family val="2"/>
      </rPr>
      <t xml:space="preserve">架構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外購中置馬達對照</t>
    </r>
  </si>
  <si>
    <t xml:space="preserve">輪轂馬達</t>
  </si>
  <si>
    <r>
      <rPr>
        <sz val="10"/>
        <color rgb="FF000000"/>
        <rFont val="Arial"/>
        <family val="0"/>
        <charset val="1"/>
      </rPr>
      <t xml:space="preserve">AKM </t>
    </r>
    <r>
      <rPr>
        <sz val="10"/>
        <color rgb="FF000000"/>
        <rFont val="WenQuanYi Zen Hei"/>
        <family val="2"/>
      </rPr>
      <t xml:space="preserve">後輪齒輪輪轂馬達 </t>
    </r>
    <r>
      <rPr>
        <sz val="10"/>
        <color rgb="FF000000"/>
        <rFont val="Arial"/>
        <family val="0"/>
        <charset val="1"/>
      </rPr>
      <t xml:space="preserve">250W</t>
    </r>
    <r>
      <rPr>
        <sz val="10"/>
        <color rgb="FF000000"/>
        <rFont val="WenQuanYi Zen Hei"/>
        <family val="2"/>
      </rPr>
      <t xml:space="preserve">（卡式飛輪）</t>
    </r>
  </si>
  <si>
    <r>
      <rPr>
        <sz val="10"/>
        <color rgb="FF000000"/>
        <rFont val="WenQuanYi Zen Hei"/>
        <family val="2"/>
      </rPr>
      <t xml:space="preserve">架構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馬達</t>
    </r>
  </si>
  <si>
    <r>
      <rPr>
        <sz val="10"/>
        <color rgb="FF000000"/>
        <rFont val="Arial"/>
        <family val="0"/>
        <charset val="1"/>
      </rPr>
      <t xml:space="preserve">AKM </t>
    </r>
    <r>
      <rPr>
        <sz val="10"/>
        <color rgb="FF000000"/>
        <rFont val="WenQuanYi Zen Hei"/>
        <family val="2"/>
      </rPr>
      <t xml:space="preserve">前輪齒輪輪轂馬達 </t>
    </r>
    <r>
      <rPr>
        <sz val="10"/>
        <color rgb="FF000000"/>
        <rFont val="Arial"/>
        <family val="0"/>
        <charset val="1"/>
      </rPr>
      <t xml:space="preserve">250W</t>
    </r>
    <r>
      <rPr>
        <sz val="10"/>
        <color rgb="FF000000"/>
        <rFont val="WenQuanYi Zen Hei"/>
        <family val="2"/>
      </rPr>
      <t xml:space="preserve">（達方外殼）</t>
    </r>
  </si>
  <si>
    <r>
      <rPr>
        <sz val="10"/>
        <color rgb="FF000000"/>
        <rFont val="WenQuanYi Zen Hei"/>
        <family val="2"/>
      </rPr>
      <t xml:space="preserve">架構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馬達下限</t>
    </r>
  </si>
  <si>
    <r>
      <rPr>
        <sz val="10"/>
        <color rgb="FF000000"/>
        <rFont val="Arial"/>
        <family val="0"/>
        <charset val="1"/>
      </rPr>
      <t xml:space="preserve">Bafang </t>
    </r>
    <r>
      <rPr>
        <sz val="10"/>
        <color rgb="FF000000"/>
        <rFont val="WenQuanYi Zen Hei"/>
        <family val="2"/>
      </rPr>
      <t xml:space="preserve">前輪齒輪輪轂 </t>
    </r>
    <r>
      <rPr>
        <sz val="10"/>
        <color rgb="FF000000"/>
        <rFont val="Arial"/>
        <family val="0"/>
        <charset val="1"/>
      </rPr>
      <t xml:space="preserve">250W </t>
    </r>
    <r>
      <rPr>
        <sz val="10"/>
        <color rgb="FF000000"/>
        <rFont val="WenQuanYi Zen Hei"/>
        <family val="2"/>
      </rPr>
      <t xml:space="preserve">含溫度感測</t>
    </r>
  </si>
  <si>
    <t xml:space="preserve">電池</t>
  </si>
  <si>
    <t xml:space="preserve">Shimano BT-E8010 36V 504Wh</t>
  </si>
  <si>
    <t xml:space="preserve">高階外購電池對照</t>
  </si>
  <si>
    <r>
      <rPr>
        <sz val="10"/>
        <color rgb="FF000000"/>
        <rFont val="Arial"/>
        <family val="0"/>
        <charset val="1"/>
      </rPr>
      <t xml:space="preserve">Darfon 720Wh </t>
    </r>
    <r>
      <rPr>
        <sz val="10"/>
        <color rgb="FF000000"/>
        <rFont val="WenQuanYi Zen Hei"/>
        <family val="2"/>
      </rPr>
      <t xml:space="preserve">電池組（含握把）</t>
    </r>
    <r>
      <rPr>
        <sz val="10"/>
        <color rgb="FF000000"/>
        <rFont val="Arial"/>
        <family val="0"/>
        <charset val="1"/>
      </rPr>
      <t xml:space="preserve">E4C0G</t>
    </r>
  </si>
  <si>
    <r>
      <rPr>
        <sz val="10"/>
        <color rgb="FF000000"/>
        <rFont val="WenQuanYi Zen Hei"/>
        <family val="2"/>
      </rPr>
      <t xml:space="preserve">架構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電池（自製）</t>
    </r>
  </si>
  <si>
    <r>
      <rPr>
        <sz val="10"/>
        <color rgb="FF000000"/>
        <rFont val="Arial"/>
        <family val="0"/>
        <charset val="1"/>
      </rPr>
      <t xml:space="preserve">Darfon 630Wh </t>
    </r>
    <r>
      <rPr>
        <sz val="10"/>
        <color rgb="FF000000"/>
        <rFont val="WenQuanYi Zen Hei"/>
        <family val="2"/>
      </rPr>
      <t xml:space="preserve">電池組（含握把）</t>
    </r>
  </si>
  <si>
    <r>
      <rPr>
        <sz val="10"/>
        <color rgb="FF000000"/>
        <rFont val="Arial"/>
        <family val="0"/>
        <charset val="1"/>
      </rPr>
      <t xml:space="preserve">Battery pack E4C0E-001</t>
    </r>
    <r>
      <rPr>
        <sz val="10"/>
        <color rgb="FF000000"/>
        <rFont val="WenQuanYi Zen Hei"/>
        <family val="2"/>
      </rPr>
      <t xml:space="preserve">（主力量產型）</t>
    </r>
  </si>
  <si>
    <r>
      <rPr>
        <sz val="10"/>
        <color rgb="FF000000"/>
        <rFont val="WenQuanYi Zen Hei"/>
        <family val="2"/>
      </rPr>
      <t xml:space="preserve">架構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電池</t>
    </r>
  </si>
  <si>
    <r>
      <rPr>
        <sz val="10"/>
        <color rgb="FF000000"/>
        <rFont val="Arial"/>
        <family val="0"/>
        <charset val="1"/>
      </rPr>
      <t xml:space="preserve">36V 11.2Ah 403Wh </t>
    </r>
    <r>
      <rPr>
        <sz val="10"/>
        <color rgb="FF000000"/>
        <rFont val="WenQuanYi Zen Hei"/>
        <family val="2"/>
      </rPr>
      <t xml:space="preserve">電池組</t>
    </r>
  </si>
  <si>
    <r>
      <rPr>
        <sz val="10"/>
        <color rgb="FF000000"/>
        <rFont val="WenQuanYi Zen Hei"/>
        <family val="2"/>
      </rPr>
      <t xml:space="preserve">架構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電池下限</t>
    </r>
  </si>
  <si>
    <t xml:space="preserve">控制器</t>
  </si>
  <si>
    <r>
      <rPr>
        <sz val="10"/>
        <color rgb="FF000000"/>
        <rFont val="Arial"/>
        <family val="0"/>
        <charset val="1"/>
      </rPr>
      <t xml:space="preserve">Controller cartridge 3G </t>
    </r>
    <r>
      <rPr>
        <sz val="10"/>
        <color rgb="FF000000"/>
        <rFont val="WenQuanYi Zen Hei"/>
        <family val="2"/>
      </rPr>
      <t xml:space="preserve">版（</t>
    </r>
    <r>
      <rPr>
        <sz val="10"/>
        <color rgb="FF000000"/>
        <rFont val="Arial"/>
        <family val="0"/>
        <charset val="1"/>
      </rPr>
      <t xml:space="preserve">RPM/</t>
    </r>
    <r>
      <rPr>
        <sz val="10"/>
        <color rgb="FF000000"/>
        <rFont val="WenQuanYi Zen Hei"/>
        <family val="2"/>
      </rPr>
      <t xml:space="preserve">扭力；達方自製）</t>
    </r>
  </si>
  <si>
    <t xml:space="preserve">含通訊模組之控制器上限</t>
  </si>
  <si>
    <t xml:space="preserve">Controller YCDT03 25km/h EU</t>
  </si>
  <si>
    <r>
      <rPr>
        <sz val="10"/>
        <color rgb="FF000000"/>
        <rFont val="WenQuanYi Zen Hei"/>
        <family val="2"/>
      </rPr>
      <t xml:space="preserve">架構 </t>
    </r>
    <r>
      <rPr>
        <sz val="10"/>
        <color rgb="FF000000"/>
        <rFont val="Arial"/>
        <family val="0"/>
        <charset val="1"/>
      </rPr>
      <t xml:space="preserve">A/B </t>
    </r>
    <r>
      <rPr>
        <sz val="10"/>
        <color rgb="FF000000"/>
        <rFont val="WenQuanYi Zen Hei"/>
        <family val="2"/>
      </rPr>
      <t xml:space="preserve">分離式控制器</t>
    </r>
  </si>
  <si>
    <t xml:space="preserve">Controller RPM 250W for 8FUN MAX (YTMT02)</t>
  </si>
  <si>
    <r>
      <rPr>
        <sz val="10"/>
        <color rgb="FF000000"/>
        <rFont val="WenQuanYi Zen Hei"/>
        <family val="2"/>
      </rPr>
      <t xml:space="preserve">架構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控制器下限</t>
    </r>
  </si>
  <si>
    <t xml:space="preserve">HMI</t>
  </si>
  <si>
    <t xml:space="preserve">Shimano SC-E6100 cycle computer</t>
  </si>
  <si>
    <r>
      <rPr>
        <sz val="10"/>
        <color rgb="FF000000"/>
        <rFont val="WenQuanYi Zen Hei"/>
        <family val="2"/>
      </rPr>
      <t xml:space="preserve">外購 </t>
    </r>
    <r>
      <rPr>
        <sz val="10"/>
        <color rgb="FF000000"/>
        <rFont val="Arial"/>
        <family val="0"/>
        <charset val="1"/>
      </rPr>
      <t xml:space="preserve">HMI </t>
    </r>
    <r>
      <rPr>
        <sz val="10"/>
        <color rgb="FF000000"/>
        <rFont val="WenQuanYi Zen Hei"/>
        <family val="2"/>
      </rPr>
      <t xml:space="preserve">對照</t>
    </r>
  </si>
  <si>
    <r>
      <rPr>
        <sz val="10"/>
        <color rgb="FF000000"/>
        <rFont val="Arial"/>
        <family val="0"/>
        <charset val="1"/>
      </rPr>
      <t xml:space="preserve">TFT </t>
    </r>
    <r>
      <rPr>
        <sz val="10"/>
        <color rgb="FF000000"/>
        <rFont val="WenQuanYi Zen Hei"/>
        <family val="2"/>
      </rPr>
      <t xml:space="preserve">彩色中央顯示器 </t>
    </r>
    <r>
      <rPr>
        <sz val="10"/>
        <color rgb="FF000000"/>
        <rFont val="Arial"/>
        <family val="0"/>
        <charset val="1"/>
      </rPr>
      <t xml:space="preserve">w/ USB-C</t>
    </r>
  </si>
  <si>
    <r>
      <rPr>
        <sz val="10"/>
        <color rgb="FF000000"/>
        <rFont val="WenQuanYi Zen Hei"/>
        <family val="2"/>
      </rPr>
      <t xml:space="preserve">架構 </t>
    </r>
    <r>
      <rPr>
        <sz val="10"/>
        <color rgb="FF000000"/>
        <rFont val="Arial"/>
        <family val="0"/>
        <charset val="1"/>
      </rPr>
      <t xml:space="preserve">B HMI</t>
    </r>
  </si>
  <si>
    <r>
      <rPr>
        <sz val="10"/>
        <color rgb="FF000000"/>
        <rFont val="Arial"/>
        <family val="0"/>
        <charset val="1"/>
      </rPr>
      <t xml:space="preserve">LCM </t>
    </r>
    <r>
      <rPr>
        <sz val="10"/>
        <color rgb="FF000000"/>
        <rFont val="WenQuanYi Zen Hei"/>
        <family val="2"/>
      </rPr>
      <t xml:space="preserve">中央顯示器 </t>
    </r>
    <r>
      <rPr>
        <sz val="10"/>
        <color rgb="FF000000"/>
        <rFont val="Arial"/>
        <family val="0"/>
        <charset val="1"/>
      </rPr>
      <t xml:space="preserve">w/ USB </t>
    </r>
    <r>
      <rPr>
        <sz val="10"/>
        <color rgb="FF000000"/>
        <rFont val="WenQuanYi Zen Hei"/>
        <family val="2"/>
      </rPr>
      <t xml:space="preserve">充電埠</t>
    </r>
  </si>
  <si>
    <r>
      <rPr>
        <sz val="10"/>
        <color rgb="FF000000"/>
        <rFont val="WenQuanYi Zen Hei"/>
        <family val="2"/>
      </rPr>
      <t xml:space="preserve">架構 </t>
    </r>
    <r>
      <rPr>
        <sz val="10"/>
        <color rgb="FF000000"/>
        <rFont val="Arial"/>
        <family val="0"/>
        <charset val="1"/>
      </rPr>
      <t xml:space="preserve">A HMI</t>
    </r>
  </si>
  <si>
    <t xml:space="preserve">感測器</t>
  </si>
  <si>
    <r>
      <rPr>
        <sz val="10"/>
        <color rgb="FF000000"/>
        <rFont val="Arial"/>
        <family val="0"/>
        <charset val="1"/>
      </rPr>
      <t xml:space="preserve">Thun </t>
    </r>
    <r>
      <rPr>
        <sz val="10"/>
        <color rgb="FF000000"/>
        <rFont val="WenQuanYi Zen Hei"/>
        <family val="2"/>
      </rPr>
      <t xml:space="preserve">扭力感測器含 </t>
    </r>
    <r>
      <rPr>
        <sz val="10"/>
        <color rgb="FF000000"/>
        <rFont val="Arial"/>
        <family val="0"/>
        <charset val="1"/>
      </rPr>
      <t xml:space="preserve">Higo </t>
    </r>
    <r>
      <rPr>
        <sz val="10"/>
        <color rgb="FF000000"/>
        <rFont val="WenQuanYi Zen Hei"/>
        <family val="2"/>
      </rPr>
      <t xml:space="preserve">線</t>
    </r>
  </si>
  <si>
    <t xml:space="preserve">外購扭力感測器上限</t>
  </si>
  <si>
    <r>
      <rPr>
        <sz val="10"/>
        <color rgb="FF000000"/>
        <rFont val="Arial"/>
        <family val="0"/>
        <charset val="1"/>
      </rPr>
      <t xml:space="preserve">SR PA01.32 </t>
    </r>
    <r>
      <rPr>
        <sz val="10"/>
        <color rgb="FF000000"/>
        <rFont val="WenQuanYi Zen Hei"/>
        <family val="2"/>
      </rPr>
      <t xml:space="preserve">扭力感測器 </t>
    </r>
    <r>
      <rPr>
        <sz val="10"/>
        <color rgb="FF000000"/>
        <rFont val="Arial"/>
        <family val="0"/>
        <charset val="1"/>
      </rPr>
      <t xml:space="preserve">32P 750mm</t>
    </r>
  </si>
  <si>
    <r>
      <rPr>
        <sz val="10"/>
        <color rgb="FF000000"/>
        <rFont val="WenQuanYi Zen Hei"/>
        <family val="2"/>
      </rPr>
      <t xml:space="preserve">架構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扭力感測器</t>
    </r>
  </si>
  <si>
    <r>
      <rPr>
        <sz val="10"/>
        <color rgb="FF000000"/>
        <rFont val="Arial"/>
        <family val="0"/>
        <charset val="1"/>
      </rPr>
      <t xml:space="preserve">TS0003 </t>
    </r>
    <r>
      <rPr>
        <sz val="10"/>
        <color rgb="FF000000"/>
        <rFont val="WenQuanYi Zen Hei"/>
        <family val="2"/>
      </rPr>
      <t xml:space="preserve">扭力感測器 </t>
    </r>
    <r>
      <rPr>
        <sz val="10"/>
        <color rgb="FF000000"/>
        <rFont val="Arial"/>
        <family val="0"/>
        <charset val="1"/>
      </rPr>
      <t xml:space="preserve">12P</t>
    </r>
  </si>
  <si>
    <r>
      <rPr>
        <sz val="10"/>
        <color rgb="FF000000"/>
        <rFont val="WenQuanYi Zen Hei"/>
        <family val="2"/>
      </rPr>
      <t xml:space="preserve">架構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扭力感測器下限</t>
    </r>
  </si>
  <si>
    <t xml:space="preserve">速度感測器含磁石</t>
  </si>
  <si>
    <t xml:space="preserve">共用</t>
  </si>
  <si>
    <t xml:space="preserve">煞車斷電感測開關</t>
  </si>
  <si>
    <r>
      <rPr>
        <sz val="10"/>
        <color rgb="FF000000"/>
        <rFont val="WenQuanYi Zen Hei"/>
        <family val="2"/>
      </rPr>
      <t xml:space="preserve">共用 </t>
    </r>
    <r>
      <rPr>
        <sz val="10"/>
        <color rgb="FF000000"/>
        <rFont val="Arial"/>
        <family val="0"/>
        <charset val="1"/>
      </rPr>
      <t xml:space="preserve">×2</t>
    </r>
  </si>
  <si>
    <t xml:space="preserve">連網</t>
  </si>
  <si>
    <r>
      <rPr>
        <sz val="10"/>
        <color rgb="FF000000"/>
        <rFont val="Arial"/>
        <family val="0"/>
        <charset val="1"/>
      </rPr>
      <t xml:space="preserve">GPS+GSM RF </t>
    </r>
    <r>
      <rPr>
        <sz val="10"/>
        <color rgb="FF000000"/>
        <rFont val="WenQuanYi Zen Hei"/>
        <family val="2"/>
      </rPr>
      <t xml:space="preserve">模組 </t>
    </r>
    <r>
      <rPr>
        <sz val="10"/>
        <color rgb="FF000000"/>
        <rFont val="Arial"/>
        <family val="0"/>
        <charset val="1"/>
      </rPr>
      <t xml:space="preserve">(SANAV MU-201)</t>
    </r>
  </si>
  <si>
    <r>
      <rPr>
        <sz val="10"/>
        <color rgb="FF000000"/>
        <rFont val="Arial"/>
        <family val="0"/>
        <charset val="1"/>
      </rPr>
      <t xml:space="preserve">IoT </t>
    </r>
    <r>
      <rPr>
        <sz val="10"/>
        <color rgb="FF000000"/>
        <rFont val="WenQuanYi Zen Hei"/>
        <family val="2"/>
      </rPr>
      <t xml:space="preserve">模組上限</t>
    </r>
  </si>
  <si>
    <r>
      <rPr>
        <sz val="10"/>
        <color rgb="FF000000"/>
        <rFont val="Arial"/>
        <family val="0"/>
        <charset val="1"/>
      </rPr>
      <t xml:space="preserve">BLE+GSM/GPRS </t>
    </r>
    <r>
      <rPr>
        <sz val="10"/>
        <color rgb="FF000000"/>
        <rFont val="WenQuanYi Zen Hei"/>
        <family val="2"/>
      </rPr>
      <t xml:space="preserve">模組 </t>
    </r>
    <r>
      <rPr>
        <sz val="10"/>
        <color rgb="FF000000"/>
        <rFont val="Arial"/>
        <family val="0"/>
        <charset val="1"/>
      </rPr>
      <t xml:space="preserve">(SARA350)</t>
    </r>
  </si>
  <si>
    <r>
      <rPr>
        <sz val="10"/>
        <color rgb="FF000000"/>
        <rFont val="Arial"/>
        <family val="0"/>
        <charset val="1"/>
      </rPr>
      <t xml:space="preserve">IoT </t>
    </r>
    <r>
      <rPr>
        <sz val="10"/>
        <color rgb="FF000000"/>
        <rFont val="WenQuanYi Zen Hei"/>
        <family val="2"/>
      </rPr>
      <t xml:space="preserve">模組（訂閱制硬體）</t>
    </r>
  </si>
  <si>
    <t xml:space="preserve">線束</t>
  </si>
  <si>
    <r>
      <rPr>
        <sz val="10"/>
        <color rgb="FF000000"/>
        <rFont val="WenQuanYi Zen Hei"/>
        <family val="2"/>
      </rPr>
      <t xml:space="preserve">整車主線束（含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條分線、電源座）</t>
    </r>
  </si>
  <si>
    <r>
      <rPr>
        <sz val="10"/>
        <color rgb="FF000000"/>
        <rFont val="WenQuanYi Zen Hei"/>
        <family val="2"/>
      </rPr>
      <t xml:space="preserve">架構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線束</t>
    </r>
  </si>
  <si>
    <r>
      <rPr>
        <sz val="10"/>
        <color rgb="FF000000"/>
        <rFont val="Arial"/>
        <family val="0"/>
        <charset val="1"/>
      </rPr>
      <t xml:space="preserve">Cartridge </t>
    </r>
    <r>
      <rPr>
        <sz val="10"/>
        <color rgb="FF000000"/>
        <rFont val="WenQuanYi Zen Hei"/>
        <family val="2"/>
      </rPr>
      <t xml:space="preserve">主線束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條</t>
    </r>
  </si>
  <si>
    <r>
      <rPr>
        <sz val="10"/>
        <color rgb="FF000000"/>
        <rFont val="WenQuanYi Zen Hei"/>
        <family val="2"/>
      </rPr>
      <t xml:space="preserve">架構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線束</t>
    </r>
  </si>
  <si>
    <t xml:space="preserve">充電器</t>
  </si>
  <si>
    <r>
      <rPr>
        <sz val="10"/>
        <color rgb="FF000000"/>
        <rFont val="Arial"/>
        <family val="0"/>
        <charset val="1"/>
      </rPr>
      <t xml:space="preserve">36V 2A </t>
    </r>
    <r>
      <rPr>
        <sz val="10"/>
        <color rgb="FF000000"/>
        <rFont val="WenQuanYi Zen Hei"/>
        <family val="2"/>
      </rPr>
      <t xml:space="preserve">全電壓充電器</t>
    </r>
  </si>
  <si>
    <r>
      <rPr>
        <sz val="10"/>
        <color rgb="FF000000"/>
        <rFont val="WenQuanYi Zen Hei"/>
        <family val="2"/>
      </rPr>
      <t xml:space="preserve">架構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充電器</t>
    </r>
  </si>
  <si>
    <r>
      <rPr>
        <sz val="10"/>
        <color rgb="FF000000"/>
        <rFont val="WenQuanYi Zen Hei"/>
        <family val="2"/>
      </rPr>
      <t xml:space="preserve">充電器電源板 </t>
    </r>
    <r>
      <rPr>
        <sz val="10"/>
        <color rgb="FF000000"/>
        <rFont val="Arial"/>
        <family val="0"/>
        <charset val="1"/>
      </rPr>
      <t xml:space="preserve">B240-003</t>
    </r>
  </si>
  <si>
    <r>
      <rPr>
        <sz val="10"/>
        <color rgb="FF000000"/>
        <rFont val="WenQuanYi Zen Hei"/>
        <family val="2"/>
      </rPr>
      <t xml:space="preserve">架構 </t>
    </r>
    <r>
      <rPr>
        <sz val="10"/>
        <color rgb="FF000000"/>
        <rFont val="Arial"/>
        <family val="0"/>
        <charset val="1"/>
      </rPr>
      <t xml:space="preserve">B 4A </t>
    </r>
    <r>
      <rPr>
        <sz val="10"/>
        <color rgb="FF000000"/>
        <rFont val="WenQuanYi Zen Hei"/>
        <family val="2"/>
      </rPr>
      <t xml:space="preserve">充電器基礎</t>
    </r>
  </si>
  <si>
    <t xml:space="preserve">外部市場基準（訂閱定價、系統售價、電芯成本）</t>
  </si>
  <si>
    <r>
      <rPr>
        <i val="true"/>
        <sz val="9"/>
        <rFont val="WenQuanYi Zen Hei"/>
        <family val="2"/>
      </rPr>
      <t xml:space="preserve">藍字為輸入；每筆附來源。零售替換價為 </t>
    </r>
    <r>
      <rPr>
        <i val="true"/>
        <sz val="9"/>
        <rFont val="Arial"/>
        <family val="0"/>
        <charset val="1"/>
      </rPr>
      <t xml:space="preserve">OEM </t>
    </r>
    <r>
      <rPr>
        <i val="true"/>
        <sz val="9"/>
        <rFont val="WenQuanYi Zen Hei"/>
        <family val="2"/>
      </rPr>
      <t xml:space="preserve">價之上限，一般 </t>
    </r>
    <r>
      <rPr>
        <i val="true"/>
        <sz val="9"/>
        <rFont val="Arial"/>
        <family val="0"/>
        <charset val="1"/>
      </rPr>
      <t xml:space="preserve">OEM </t>
    </r>
    <r>
      <rPr>
        <i val="true"/>
        <sz val="9"/>
        <rFont val="WenQuanYi Zen Hei"/>
        <family val="2"/>
      </rPr>
      <t xml:space="preserve">採購價約為零售價 </t>
    </r>
    <r>
      <rPr>
        <i val="true"/>
        <sz val="9"/>
        <rFont val="Arial"/>
        <family val="0"/>
        <charset val="1"/>
      </rPr>
      <t xml:space="preserve">40–55%</t>
    </r>
    <r>
      <rPr>
        <i val="true"/>
        <sz val="9"/>
        <rFont val="WenQuanYi Zen Hei"/>
        <family val="2"/>
      </rPr>
      <t xml:space="preserve">。</t>
    </r>
  </si>
  <si>
    <t xml:space="preserve">項目</t>
  </si>
  <si>
    <r>
      <rPr>
        <b val="true"/>
        <sz val="11"/>
        <color rgb="FFFFFFFF"/>
        <rFont val="WenQuanYi Zen Hei"/>
        <family val="2"/>
      </rPr>
      <t xml:space="preserve">換算 </t>
    </r>
    <r>
      <rPr>
        <b val="true"/>
        <sz val="11"/>
        <color rgb="FFFFFFFF"/>
        <rFont val="Arial"/>
        <family val="0"/>
        <charset val="1"/>
      </rPr>
      <t xml:space="preserve">NT$</t>
    </r>
  </si>
  <si>
    <r>
      <rPr>
        <b val="true"/>
        <sz val="11"/>
        <color rgb="FFFFFFFF"/>
        <rFont val="WenQuanYi Zen Hei"/>
        <family val="2"/>
      </rPr>
      <t xml:space="preserve">來源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WenQuanYi Zen Hei"/>
        <family val="2"/>
      </rPr>
      <t xml:space="preserve">備註</t>
    </r>
  </si>
  <si>
    <r>
      <rPr>
        <b val="true"/>
        <sz val="10"/>
        <rFont val="Arial"/>
        <family val="0"/>
        <charset val="1"/>
      </rPr>
      <t xml:space="preserve">Bosch CX </t>
    </r>
    <r>
      <rPr>
        <b val="true"/>
        <sz val="10"/>
        <rFont val="WenQuanYi Zen Hei"/>
        <family val="2"/>
      </rPr>
      <t xml:space="preserve">驅動單元 </t>
    </r>
    <r>
      <rPr>
        <b val="true"/>
        <sz val="10"/>
        <rFont val="Arial"/>
        <family val="0"/>
        <charset val="1"/>
      </rPr>
      <t xml:space="preserve">OEM </t>
    </r>
    <r>
      <rPr>
        <b val="true"/>
        <sz val="10"/>
        <rFont val="WenQuanYi Zen Hei"/>
        <family val="2"/>
      </rPr>
      <t xml:space="preserve">估價</t>
    </r>
  </si>
  <si>
    <t xml:space="preserve">€</t>
  </si>
  <si>
    <r>
      <rPr>
        <sz val="10"/>
        <color rgb="FF000000"/>
        <rFont val="WenQuanYi Zen Hei"/>
        <family val="2"/>
      </rPr>
      <t xml:space="preserve">估計：零售替換價 </t>
    </r>
    <r>
      <rPr>
        <sz val="10"/>
        <color rgb="FF000000"/>
        <rFont val="Arial"/>
        <family val="0"/>
        <charset val="1"/>
      </rPr>
      <t xml:space="preserve">US$1,027–1,051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Propel Bikes, smart system BDU3741</t>
    </r>
    <r>
      <rPr>
        <sz val="10"/>
        <color rgb="FF000000"/>
        <rFont val="WenQuanYi Zen Hei"/>
        <family val="2"/>
      </rPr>
      <t xml:space="preserve">）、二手 €</t>
    </r>
    <r>
      <rPr>
        <sz val="10"/>
        <color rgb="FF000000"/>
        <rFont val="Arial"/>
        <family val="0"/>
        <charset val="1"/>
      </rPr>
      <t xml:space="preserve">480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OEM </t>
    </r>
    <r>
      <rPr>
        <sz val="10"/>
        <color rgb="FF000000"/>
        <rFont val="WenQuanYi Zen Hei"/>
        <family val="2"/>
      </rPr>
      <t xml:space="preserve">移轉價通常為零售 </t>
    </r>
    <r>
      <rPr>
        <sz val="10"/>
        <color rgb="FF000000"/>
        <rFont val="Arial"/>
        <family val="0"/>
        <charset val="1"/>
      </rPr>
      <t xml:space="preserve">40–60% → </t>
    </r>
    <r>
      <rPr>
        <sz val="10"/>
        <color rgb="FF000000"/>
        <rFont val="WenQuanYi Zen Hei"/>
        <family val="2"/>
      </rPr>
      <t xml:space="preserve">取 €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WenQuanYi Zen Hei"/>
        <family val="2"/>
      </rPr>
      <t xml:space="preserve">。待驗證。</t>
    </r>
  </si>
  <si>
    <r>
      <rPr>
        <b val="true"/>
        <sz val="10"/>
        <rFont val="Arial"/>
        <family val="0"/>
        <charset val="1"/>
      </rPr>
      <t xml:space="preserve">Bosch PowerTube 800 OEM </t>
    </r>
    <r>
      <rPr>
        <b val="true"/>
        <sz val="10"/>
        <rFont val="WenQuanYi Zen Hei"/>
        <family val="2"/>
      </rPr>
      <t xml:space="preserve">估價</t>
    </r>
  </si>
  <si>
    <r>
      <rPr>
        <sz val="10"/>
        <color rgb="FF000000"/>
        <rFont val="WenQuanYi Zen Hei"/>
        <family val="2"/>
      </rPr>
      <t xml:space="preserve">估計：零售 €</t>
    </r>
    <r>
      <rPr>
        <sz val="10"/>
        <color rgb="FF000000"/>
        <rFont val="Arial"/>
        <family val="0"/>
        <charset val="1"/>
      </rPr>
      <t xml:space="preserve">668.90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Bike-Discount, BBP3880 800Wh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US$1,198–1,334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OEM </t>
    </r>
    <r>
      <rPr>
        <sz val="10"/>
        <color rgb="FF000000"/>
        <rFont val="WenQuanYi Zen Hei"/>
        <family val="2"/>
      </rPr>
      <t xml:space="preserve">取零售 </t>
    </r>
    <r>
      <rPr>
        <sz val="10"/>
        <color rgb="FF000000"/>
        <rFont val="Arial"/>
        <family val="0"/>
        <charset val="1"/>
      </rPr>
      <t xml:space="preserve">55%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</si>
  <si>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Bosch Kiox 300 + LED Remote OEM </t>
    </r>
    <r>
      <rPr>
        <b val="true"/>
        <sz val="10"/>
        <rFont val="WenQuanYi Zen Hei"/>
        <family val="2"/>
      </rPr>
      <t xml:space="preserve">估價</t>
    </r>
  </si>
  <si>
    <r>
      <rPr>
        <sz val="10"/>
        <color rgb="FF000000"/>
        <rFont val="WenQuanYi Zen Hei"/>
        <family val="2"/>
      </rPr>
      <t xml:space="preserve">估計：</t>
    </r>
    <r>
      <rPr>
        <sz val="10"/>
        <color rgb="FF000000"/>
        <rFont val="Arial"/>
        <family val="0"/>
        <charset val="1"/>
      </rPr>
      <t xml:space="preserve">Kiox 300 </t>
    </r>
    <r>
      <rPr>
        <sz val="10"/>
        <color rgb="FF000000"/>
        <rFont val="WenQuanYi Zen Hei"/>
        <family val="2"/>
      </rPr>
      <t xml:space="preserve">零售 €</t>
    </r>
    <r>
      <rPr>
        <sz val="10"/>
        <color rgb="FF000000"/>
        <rFont val="Arial"/>
        <family val="0"/>
        <charset val="1"/>
      </rPr>
      <t xml:space="preserve">123.5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Bike24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Purion 200 €110</t>
    </r>
    <r>
      <rPr>
        <sz val="10"/>
        <color rgb="FF000000"/>
        <rFont val="WenQuanYi Zen Hei"/>
        <family val="2"/>
      </rPr>
      <t xml:space="preserve">；加 </t>
    </r>
    <r>
      <rPr>
        <sz val="10"/>
        <color rgb="FF000000"/>
        <rFont val="Arial"/>
        <family val="0"/>
        <charset val="1"/>
      </rPr>
      <t xml:space="preserve">LED Remote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OEM </t>
    </r>
    <r>
      <rPr>
        <sz val="10"/>
        <color rgb="FF000000"/>
        <rFont val="WenQuanYi Zen Hei"/>
        <family val="2"/>
      </rPr>
      <t xml:space="preserve">取約 </t>
    </r>
    <r>
      <rPr>
        <sz val="10"/>
        <color rgb="FF000000"/>
        <rFont val="Arial"/>
        <family val="0"/>
        <charset val="1"/>
      </rPr>
      <t xml:space="preserve">55%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</si>
  <si>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Bosch ConnectModule OEM </t>
    </r>
    <r>
      <rPr>
        <b val="true"/>
        <sz val="10"/>
        <rFont val="WenQuanYi Zen Hei"/>
        <family val="2"/>
      </rPr>
      <t xml:space="preserve">估價</t>
    </r>
  </si>
  <si>
    <r>
      <rPr>
        <sz val="10"/>
        <color rgb="FF000000"/>
        <rFont val="WenQuanYi Zen Hei"/>
        <family val="2"/>
      </rPr>
      <t xml:space="preserve">估計：零售 €</t>
    </r>
    <r>
      <rPr>
        <sz val="10"/>
        <color rgb="FF000000"/>
        <rFont val="Arial"/>
        <family val="0"/>
        <charset val="1"/>
      </rPr>
      <t xml:space="preserve">81.5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Bike24 </t>
    </r>
    <r>
      <rPr>
        <sz val="10"/>
        <color rgb="FF000000"/>
        <rFont val="WenQuanYi Zen Hei"/>
        <family val="2"/>
      </rPr>
      <t xml:space="preserve">套件）–€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WenQuanYi Zen Hei"/>
        <family val="2"/>
      </rPr>
      <t xml:space="preserve">（原廠加裝）；</t>
    </r>
    <r>
      <rPr>
        <sz val="10"/>
        <color rgb="FF000000"/>
        <rFont val="Arial"/>
        <family val="0"/>
        <charset val="1"/>
      </rPr>
      <t xml:space="preserve">OEM </t>
    </r>
    <r>
      <rPr>
        <sz val="10"/>
        <color rgb="FF000000"/>
        <rFont val="WenQuanYi Zen Hei"/>
        <family val="2"/>
      </rPr>
      <t xml:space="preserve">取約 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WenQuanYi Zen Hei"/>
        <family val="2"/>
      </rPr>
      <t xml:space="preserve">。內含 </t>
    </r>
    <r>
      <rPr>
        <sz val="10"/>
        <color rgb="FF000000"/>
        <rFont val="Arial"/>
        <family val="0"/>
        <charset val="1"/>
      </rPr>
      <t xml:space="preserve">LTE/GPS/BLE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</si>
  <si>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Bosch 4A </t>
    </r>
    <r>
      <rPr>
        <b val="true"/>
        <sz val="10"/>
        <rFont val="WenQuanYi Zen Hei"/>
        <family val="2"/>
      </rPr>
      <t xml:space="preserve">充電器 </t>
    </r>
    <r>
      <rPr>
        <b val="true"/>
        <sz val="10"/>
        <rFont val="Arial"/>
        <family val="0"/>
        <charset val="1"/>
      </rPr>
      <t xml:space="preserve">OEM </t>
    </r>
    <r>
      <rPr>
        <b val="true"/>
        <sz val="10"/>
        <rFont val="WenQuanYi Zen Hei"/>
        <family val="2"/>
      </rPr>
      <t xml:space="preserve">估價</t>
    </r>
  </si>
  <si>
    <r>
      <rPr>
        <sz val="10"/>
        <color rgb="FF000000"/>
        <rFont val="WenQuanYi Zen Hei"/>
        <family val="2"/>
      </rPr>
      <t xml:space="preserve">估計：原廠 </t>
    </r>
    <r>
      <rPr>
        <sz val="10"/>
        <color rgb="FF000000"/>
        <rFont val="Arial"/>
        <family val="0"/>
        <charset val="1"/>
      </rPr>
      <t xml:space="preserve">4A </t>
    </r>
    <r>
      <rPr>
        <sz val="10"/>
        <color rgb="FF000000"/>
        <rFont val="WenQuanYi Zen Hei"/>
        <family val="2"/>
      </rPr>
      <t xml:space="preserve">充電器零售約 €</t>
    </r>
    <r>
      <rPr>
        <sz val="10"/>
        <color rgb="FF000000"/>
        <rFont val="Arial"/>
        <family val="0"/>
        <charset val="1"/>
      </rPr>
      <t xml:space="preserve">99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Alibaba 42V 2A </t>
    </r>
    <r>
      <rPr>
        <sz val="10"/>
        <color rgb="FF000000"/>
        <rFont val="WenQuanYi Zen Hei"/>
        <family val="2"/>
      </rPr>
      <t xml:space="preserve">充電器批發 </t>
    </r>
    <r>
      <rPr>
        <sz val="10"/>
        <color rgb="FF000000"/>
        <rFont val="Arial"/>
        <family val="0"/>
        <charset val="1"/>
      </rPr>
      <t xml:space="preserve">US$6.5–11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</si>
  <si>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Bosch CX </t>
    </r>
    <r>
      <rPr>
        <b val="true"/>
        <sz val="10"/>
        <rFont val="WenQuanYi Zen Hei"/>
        <family val="2"/>
      </rPr>
      <t xml:space="preserve">全系統 </t>
    </r>
    <r>
      <rPr>
        <b val="true"/>
        <sz val="10"/>
        <rFont val="Arial"/>
        <family val="0"/>
        <charset val="1"/>
      </rPr>
      <t xml:space="preserve">OEM </t>
    </r>
    <r>
      <rPr>
        <b val="true"/>
        <sz val="10"/>
        <rFont val="WenQuanYi Zen Hei"/>
        <family val="2"/>
      </rPr>
      <t xml:space="preserve">估價</t>
    </r>
  </si>
  <si>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DU 400 + PT800 370 + Kiox/Remote 75 + ConnectModule 45 + </t>
    </r>
    <r>
      <rPr>
        <sz val="10"/>
        <color rgb="FF000000"/>
        <rFont val="WenQuanYi Zen Hei"/>
        <family val="2"/>
      </rPr>
      <t xml:space="preserve">充電器 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。對照零售替換總值 €</t>
    </r>
    <r>
      <rPr>
        <sz val="10"/>
        <color rgb="FF000000"/>
        <rFont val="Arial"/>
        <family val="0"/>
        <charset val="1"/>
      </rPr>
      <t xml:space="preserve">1,500–2,300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</si>
  <si>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Bafang M600 </t>
    </r>
    <r>
      <rPr>
        <b val="true"/>
        <sz val="10"/>
        <rFont val="WenQuanYi Zen Hei"/>
        <family val="2"/>
      </rPr>
      <t xml:space="preserve">中置系統套件 </t>
    </r>
    <r>
      <rPr>
        <b val="true"/>
        <sz val="10"/>
        <rFont val="Arial"/>
        <family val="0"/>
        <charset val="1"/>
      </rPr>
      <t xml:space="preserve">OEM </t>
    </r>
    <r>
      <rPr>
        <b val="true"/>
        <sz val="10"/>
        <rFont val="WenQuanYi Zen Hei"/>
        <family val="2"/>
      </rPr>
      <t xml:space="preserve">估價</t>
    </r>
  </si>
  <si>
    <t xml:space="preserve">US$</t>
  </si>
  <si>
    <r>
      <rPr>
        <sz val="10"/>
        <color rgb="FF000000"/>
        <rFont val="WenQuanYi Zen Hei"/>
        <family val="2"/>
      </rPr>
      <t xml:space="preserve">估計：</t>
    </r>
    <r>
      <rPr>
        <sz val="10"/>
        <color rgb="FF000000"/>
        <rFont val="Arial"/>
        <family val="0"/>
        <charset val="1"/>
      </rPr>
      <t xml:space="preserve">M600 </t>
    </r>
    <r>
      <rPr>
        <sz val="10"/>
        <color rgb="FF000000"/>
        <rFont val="WenQuanYi Zen Hei"/>
        <family val="2"/>
      </rPr>
      <t xml:space="preserve">裸馬達零售 </t>
    </r>
    <r>
      <rPr>
        <sz val="10"/>
        <color rgb="FF000000"/>
        <rFont val="Arial"/>
        <family val="0"/>
        <charset val="1"/>
      </rPr>
      <t xml:space="preserve">US$700–899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Biktrix</t>
    </r>
    <r>
      <rPr>
        <sz val="10"/>
        <color rgb="FF000000"/>
        <rFont val="WenQuanYi Zen Hei"/>
        <family val="2"/>
      </rPr>
      <t xml:space="preserve">）、整套件 </t>
    </r>
    <r>
      <rPr>
        <sz val="10"/>
        <color rgb="FF000000"/>
        <rFont val="Arial"/>
        <family val="0"/>
        <charset val="1"/>
      </rPr>
      <t xml:space="preserve">Alibaba &lt;US$800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OEM </t>
    </r>
    <r>
      <rPr>
        <sz val="10"/>
        <color rgb="FF000000"/>
        <rFont val="WenQuanYi Zen Hei"/>
        <family val="2"/>
      </rPr>
      <t xml:space="preserve">馬達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控制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顯示約 </t>
    </r>
    <r>
      <rPr>
        <sz val="10"/>
        <color rgb="FF000000"/>
        <rFont val="Arial"/>
        <family val="0"/>
        <charset val="1"/>
      </rPr>
      <t xml:space="preserve">US$300 + 720Wh </t>
    </r>
    <r>
      <rPr>
        <sz val="10"/>
        <color rgb="FF000000"/>
        <rFont val="WenQuanYi Zen Hei"/>
        <family val="2"/>
      </rPr>
      <t xml:space="preserve">電池 </t>
    </r>
    <r>
      <rPr>
        <sz val="10"/>
        <color rgb="FF000000"/>
        <rFont val="Arial"/>
        <family val="0"/>
        <charset val="1"/>
      </rPr>
      <t xml:space="preserve">FOB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US$170 + </t>
    </r>
    <r>
      <rPr>
        <sz val="10"/>
        <color rgb="FF000000"/>
        <rFont val="WenQuanYi Zen Hei"/>
        <family val="2"/>
      </rPr>
      <t xml:space="preserve">充電器 </t>
    </r>
    <r>
      <rPr>
        <sz val="10"/>
        <color rgb="FF000000"/>
        <rFont val="Arial"/>
        <family val="0"/>
        <charset val="1"/>
      </rPr>
      <t xml:space="preserve">US$10 + </t>
    </r>
    <r>
      <rPr>
        <sz val="10"/>
        <color rgb="FF000000"/>
        <rFont val="WenQuanYi Zen Hei"/>
        <family val="2"/>
      </rPr>
      <t xml:space="preserve">線束。</t>
    </r>
    <r>
      <rPr>
        <sz val="10"/>
        <color rgb="FF000000"/>
        <rFont val="Arial"/>
        <family val="0"/>
        <charset val="1"/>
      </rPr>
      <t xml:space="preserve">Bafang 2025 </t>
    </r>
    <r>
      <rPr>
        <sz val="10"/>
        <color rgb="FF000000"/>
        <rFont val="WenQuanYi Zen Hei"/>
        <family val="2"/>
      </rPr>
      <t xml:space="preserve">中置出貨 </t>
    </r>
    <r>
      <rPr>
        <sz val="10"/>
        <color rgb="FF000000"/>
        <rFont val="Arial"/>
        <family val="0"/>
        <charset val="1"/>
      </rPr>
      <t xml:space="preserve">17.04 </t>
    </r>
    <r>
      <rPr>
        <sz val="10"/>
        <color rgb="FF000000"/>
        <rFont val="WenQuanYi Zen Hei"/>
        <family val="2"/>
      </rPr>
      <t xml:space="preserve">萬台、</t>
    </r>
    <r>
      <rPr>
        <sz val="10"/>
        <color rgb="FF000000"/>
        <rFont val="Arial"/>
        <family val="0"/>
        <charset val="1"/>
      </rPr>
      <t xml:space="preserve">e-bike </t>
    </r>
    <r>
      <rPr>
        <sz val="10"/>
        <color rgb="FF000000"/>
        <rFont val="WenQuanYi Zen Hei"/>
        <family val="2"/>
      </rPr>
      <t xml:space="preserve">馬達毛利率 </t>
    </r>
    <r>
      <rPr>
        <sz val="10"/>
        <color rgb="FF000000"/>
        <rFont val="Arial"/>
        <family val="0"/>
        <charset val="1"/>
      </rPr>
      <t xml:space="preserve">35.5%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</si>
  <si>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Bafang H700 </t>
    </r>
    <r>
      <rPr>
        <b val="true"/>
        <sz val="10"/>
        <rFont val="WenQuanYi Zen Hei"/>
        <family val="2"/>
      </rPr>
      <t xml:space="preserve">輪轂系統套件 </t>
    </r>
    <r>
      <rPr>
        <b val="true"/>
        <sz val="10"/>
        <rFont val="Arial"/>
        <family val="0"/>
        <charset val="1"/>
      </rPr>
      <t xml:space="preserve">OEM </t>
    </r>
    <r>
      <rPr>
        <b val="true"/>
        <sz val="10"/>
        <rFont val="WenQuanYi Zen Hei"/>
        <family val="2"/>
      </rPr>
      <t xml:space="preserve">估價</t>
    </r>
  </si>
  <si>
    <r>
      <rPr>
        <sz val="10"/>
        <color rgb="FF000000"/>
        <rFont val="WenQuanYi Zen Hei"/>
        <family val="2"/>
      </rPr>
      <t xml:space="preserve">估計：</t>
    </r>
    <r>
      <rPr>
        <sz val="10"/>
        <color rgb="FF000000"/>
        <rFont val="Arial"/>
        <family val="0"/>
        <charset val="1"/>
      </rPr>
      <t xml:space="preserve">Bafang/</t>
    </r>
    <r>
      <rPr>
        <sz val="10"/>
        <color rgb="FF000000"/>
        <rFont val="WenQuanYi Zen Hei"/>
        <family val="2"/>
      </rPr>
      <t xml:space="preserve">安乃達齒輪輪轂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RMB 230–335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US$32–47</t>
    </r>
    <r>
      <rPr>
        <sz val="10"/>
        <color rgb="FF000000"/>
        <rFont val="WenQuanYi Zen Hei"/>
        <family val="2"/>
      </rPr>
      <t xml:space="preserve">）、通用 </t>
    </r>
    <r>
      <rPr>
        <sz val="10"/>
        <color rgb="FF000000"/>
        <rFont val="Arial"/>
        <family val="0"/>
        <charset val="1"/>
      </rPr>
      <t xml:space="preserve">250W </t>
    </r>
    <r>
      <rPr>
        <sz val="10"/>
        <color rgb="FF000000"/>
        <rFont val="WenQuanYi Zen Hei"/>
        <family val="2"/>
      </rPr>
      <t xml:space="preserve">輪轂 </t>
    </r>
    <r>
      <rPr>
        <sz val="10"/>
        <color rgb="FF000000"/>
        <rFont val="Arial"/>
        <family val="0"/>
        <charset val="1"/>
      </rPr>
      <t xml:space="preserve">Alibaba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US$55</t>
    </r>
    <r>
      <rPr>
        <sz val="10"/>
        <color rgb="FF000000"/>
        <rFont val="WenQuanYi Zen Hei"/>
        <family val="2"/>
      </rPr>
      <t xml:space="preserve">；套件（控制器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顯示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感測）約 </t>
    </r>
    <r>
      <rPr>
        <sz val="10"/>
        <color rgb="FF000000"/>
        <rFont val="Arial"/>
        <family val="0"/>
        <charset val="1"/>
      </rPr>
      <t xml:space="preserve">US$60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500Wh </t>
    </r>
    <r>
      <rPr>
        <sz val="10"/>
        <color rgb="FF000000"/>
        <rFont val="WenQuanYi Zen Hei"/>
        <family val="2"/>
      </rPr>
      <t xml:space="preserve">電池 </t>
    </r>
    <r>
      <rPr>
        <sz val="10"/>
        <color rgb="FF000000"/>
        <rFont val="Arial"/>
        <family val="0"/>
        <charset val="1"/>
      </rPr>
      <t xml:space="preserve">FOB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US$150</t>
    </r>
    <r>
      <rPr>
        <sz val="10"/>
        <color rgb="FF000000"/>
        <rFont val="WenQuanYi Zen Hei"/>
        <family val="2"/>
      </rPr>
      <t xml:space="preserve">；充電器 </t>
    </r>
    <r>
      <rPr>
        <sz val="10"/>
        <color rgb="FF000000"/>
        <rFont val="Arial"/>
        <family val="0"/>
        <charset val="1"/>
      </rPr>
      <t xml:space="preserve">US$10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</si>
  <si>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Bosch Flow+ </t>
    </r>
    <r>
      <rPr>
        <b val="true"/>
        <sz val="10"/>
        <rFont val="WenQuanYi Zen Hei"/>
        <family val="2"/>
      </rPr>
      <t xml:space="preserve">年費</t>
    </r>
  </si>
  <si>
    <r>
      <rPr>
        <sz val="10"/>
        <color rgb="FF000000"/>
        <rFont val="Arial"/>
        <family val="0"/>
        <charset val="1"/>
      </rPr>
      <t xml:space="preserve">Bosch </t>
    </r>
    <r>
      <rPr>
        <sz val="10"/>
        <color rgb="FF000000"/>
        <rFont val="WenQuanYi Zen Hei"/>
        <family val="2"/>
      </rPr>
      <t xml:space="preserve">官網：€</t>
    </r>
    <r>
      <rPr>
        <sz val="10"/>
        <color rgb="FF000000"/>
        <rFont val="Arial"/>
        <family val="0"/>
        <charset val="1"/>
      </rPr>
      <t xml:space="preserve">4.99/</t>
    </r>
    <r>
      <rPr>
        <sz val="10"/>
        <color rgb="FF000000"/>
        <rFont val="WenQuanYi Zen Hei"/>
        <family val="2"/>
      </rPr>
      <t xml:space="preserve">月或 €</t>
    </r>
    <r>
      <rPr>
        <sz val="10"/>
        <color rgb="FF000000"/>
        <rFont val="Arial"/>
        <family val="0"/>
        <charset val="1"/>
      </rPr>
      <t xml:space="preserve">39.99/</t>
    </r>
    <r>
      <rPr>
        <sz val="10"/>
        <color rgb="FF000000"/>
        <rFont val="WenQuanYi Zen Hei"/>
        <family val="2"/>
      </rPr>
      <t xml:space="preserve">年（美國 </t>
    </r>
    <r>
      <rPr>
        <sz val="10"/>
        <color rgb="FF000000"/>
        <rFont val="Arial"/>
        <family val="0"/>
        <charset val="1"/>
      </rPr>
      <t xml:space="preserve">US$5.99/</t>
    </r>
    <r>
      <rPr>
        <sz val="10"/>
        <color rgb="FF000000"/>
        <rFont val="WenQuanYi Zen Hei"/>
        <family val="2"/>
      </rPr>
      <t xml:space="preserve">月或 </t>
    </r>
    <r>
      <rPr>
        <sz val="10"/>
        <color rgb="FF000000"/>
        <rFont val="Arial"/>
        <family val="0"/>
        <charset val="1"/>
      </rPr>
      <t xml:space="preserve">US$59.99/</t>
    </r>
    <r>
      <rPr>
        <sz val="10"/>
        <color rgb="FF000000"/>
        <rFont val="WenQuanYi Zen Hei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ConnectModule </t>
    </r>
    <r>
      <rPr>
        <sz val="10"/>
        <color rgb="FF000000"/>
        <rFont val="WenQuanYi Zen Hei"/>
        <family val="2"/>
      </rPr>
      <t xml:space="preserve">車款首年免費。</t>
    </r>
    <r>
      <rPr>
        <sz val="10"/>
        <color rgb="FF000000"/>
        <rFont val="Arial"/>
        <family val="0"/>
        <charset val="1"/>
      </rPr>
      <t xml:space="preserve">Bosch </t>
    </r>
    <r>
      <rPr>
        <sz val="10"/>
        <color rgb="FF000000"/>
        <rFont val="WenQuanYi Zen Hei"/>
        <family val="2"/>
      </rPr>
      <t xml:space="preserve">未揭露訂戶數與轉換率。</t>
    </r>
  </si>
  <si>
    <r>
      <rPr>
        <b val="true"/>
        <sz val="10"/>
        <rFont val="Arial"/>
        <family val="0"/>
        <charset val="1"/>
      </rPr>
      <t xml:space="preserve">e-bike </t>
    </r>
    <r>
      <rPr>
        <b val="true"/>
        <sz val="10"/>
        <rFont val="WenQuanYi Zen Hei"/>
        <family val="2"/>
      </rPr>
      <t xml:space="preserve">電池訂閱月費（假設）</t>
    </r>
  </si>
  <si>
    <r>
      <rPr>
        <sz val="10"/>
        <color rgb="FF000000"/>
        <rFont val="WenQuanYi Zen Hei"/>
        <family val="2"/>
      </rPr>
      <t xml:space="preserve">假設：</t>
    </r>
    <r>
      <rPr>
        <sz val="10"/>
        <color rgb="FF000000"/>
        <rFont val="Arial"/>
        <family val="0"/>
        <charset val="1"/>
      </rPr>
      <t xml:space="preserve">Enyring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Yamaha</t>
    </r>
    <r>
      <rPr>
        <sz val="10"/>
        <color rgb="FF000000"/>
        <rFont val="WenQuanYi Zen Hei"/>
        <family val="2"/>
      </rPr>
      <t xml:space="preserve">，柏林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阿姆斯特丹）月費未公布；介於 </t>
    </r>
    <r>
      <rPr>
        <sz val="10"/>
        <color rgb="FF000000"/>
        <rFont val="Arial"/>
        <family val="0"/>
        <charset val="1"/>
      </rPr>
      <t xml:space="preserve">Gogoro </t>
    </r>
    <r>
      <rPr>
        <sz val="10"/>
        <color rgb="FF000000"/>
        <rFont val="WenQuanYi Zen Hei"/>
        <family val="2"/>
      </rPr>
      <t xml:space="preserve">單電池 </t>
    </r>
    <r>
      <rPr>
        <sz val="10"/>
        <color rgb="FF000000"/>
        <rFont val="Arial"/>
        <family val="0"/>
        <charset val="1"/>
      </rPr>
      <t xml:space="preserve">NT$499/</t>
    </r>
    <r>
      <rPr>
        <sz val="10"/>
        <color rgb="FF000000"/>
        <rFont val="WenQuanYi Zen Hei"/>
        <family val="2"/>
      </rPr>
      <t xml:space="preserve">月（≈€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Swapfiets </t>
    </r>
    <r>
      <rPr>
        <sz val="10"/>
        <color rgb="FF000000"/>
        <rFont val="WenQuanYi Zen Hei"/>
        <family val="2"/>
      </rPr>
      <t xml:space="preserve">整車 </t>
    </r>
    <r>
      <rPr>
        <sz val="10"/>
        <color rgb="FF000000"/>
        <rFont val="Arial"/>
        <family val="0"/>
        <charset val="1"/>
      </rPr>
      <t xml:space="preserve">Power 1 €49.90/</t>
    </r>
    <r>
      <rPr>
        <sz val="10"/>
        <color rgb="FF000000"/>
        <rFont val="WenQuanYi Zen Hei"/>
        <family val="2"/>
      </rPr>
      <t xml:space="preserve">月之間。</t>
    </r>
  </si>
  <si>
    <r>
      <rPr>
        <b val="true"/>
        <sz val="10"/>
        <rFont val="Arial"/>
        <family val="0"/>
        <charset val="1"/>
      </rPr>
      <t xml:space="preserve">DJI Avinox 800Wh </t>
    </r>
    <r>
      <rPr>
        <b val="true"/>
        <sz val="10"/>
        <rFont val="WenQuanYi Zen Hei"/>
        <family val="2"/>
      </rPr>
      <t xml:space="preserve">電池零售價</t>
    </r>
  </si>
  <si>
    <t xml:space="preserve">CHF</t>
  </si>
  <si>
    <r>
      <rPr>
        <sz val="10"/>
        <color rgb="FF000000"/>
        <rFont val="Arial"/>
        <family val="0"/>
        <charset val="1"/>
      </rPr>
      <t xml:space="preserve">Intercycle </t>
    </r>
    <r>
      <rPr>
        <sz val="10"/>
        <color rgb="FF000000"/>
        <rFont val="WenQuanYi Zen Hei"/>
        <family val="2"/>
      </rPr>
      <t xml:space="preserve">零售 </t>
    </r>
    <r>
      <rPr>
        <sz val="10"/>
        <color rgb="FF000000"/>
        <rFont val="Arial"/>
        <family val="0"/>
        <charset val="1"/>
      </rPr>
      <t xml:space="preserve">CHF 999</t>
    </r>
    <r>
      <rPr>
        <sz val="10"/>
        <color rgb="FF000000"/>
        <rFont val="WenQuanYi Zen Hei"/>
        <family val="2"/>
      </rPr>
      <t xml:space="preserve">（約 €</t>
    </r>
    <r>
      <rPr>
        <sz val="10"/>
        <color rgb="FF000000"/>
        <rFont val="Arial"/>
        <family val="0"/>
        <charset val="1"/>
      </rPr>
      <t xml:space="preserve">1,060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600Wh US$869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Avinox M2 </t>
    </r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1,500W/150Nm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MY2027 </t>
    </r>
    <r>
      <rPr>
        <sz val="10"/>
        <color rgb="FF000000"/>
        <rFont val="WenQuanYi Zen Hei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60 </t>
    </r>
    <r>
      <rPr>
        <sz val="10"/>
        <color rgb="FF000000"/>
        <rFont val="WenQuanYi Zen Hei"/>
        <family val="2"/>
      </rPr>
      <t xml:space="preserve">品牌採用。</t>
    </r>
  </si>
  <si>
    <r>
      <rPr>
        <b val="true"/>
        <sz val="10"/>
        <rFont val="Arial"/>
        <family val="0"/>
        <charset val="1"/>
      </rPr>
      <t xml:space="preserve">Shimano EP801 </t>
    </r>
    <r>
      <rPr>
        <b val="true"/>
        <sz val="10"/>
        <rFont val="WenQuanYi Zen Hei"/>
        <family val="2"/>
      </rPr>
      <t xml:space="preserve">驅動單元零售價</t>
    </r>
  </si>
  <si>
    <t xml:space="preserve">£</t>
  </si>
  <si>
    <r>
      <rPr>
        <sz val="10"/>
        <color rgb="FF000000"/>
        <rFont val="WenQuanYi Zen Hei"/>
        <family val="2"/>
      </rPr>
      <t xml:space="preserve">英國經銷替換價 </t>
    </r>
    <r>
      <rPr>
        <sz val="10"/>
        <color rgb="FF000000"/>
        <rFont val="Arial"/>
        <family val="0"/>
        <charset val="1"/>
      </rPr>
      <t xml:space="preserve">£700–1,000</t>
    </r>
    <r>
      <rPr>
        <sz val="10"/>
        <color rgb="FF000000"/>
        <rFont val="WenQuanYi Zen Hei"/>
        <family val="2"/>
      </rPr>
      <t xml:space="preserve">；美國定價 </t>
    </r>
    <r>
      <rPr>
        <sz val="10"/>
        <color rgb="FF000000"/>
        <rFont val="Arial"/>
        <family val="0"/>
        <charset val="1"/>
      </rPr>
      <t xml:space="preserve">US$1,300–1,700</t>
    </r>
    <r>
      <rPr>
        <sz val="10"/>
        <color rgb="FF000000"/>
        <rFont val="WenQuanYi Zen Hei"/>
        <family val="2"/>
      </rPr>
      <t xml:space="preserve">、灰市 </t>
    </r>
    <r>
      <rPr>
        <sz val="10"/>
        <color rgb="FF000000"/>
        <rFont val="Arial"/>
        <family val="0"/>
        <charset val="1"/>
      </rPr>
      <t xml:space="preserve">US$700–900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BT-EN806 630Wh </t>
    </r>
    <r>
      <rPr>
        <sz val="10"/>
        <color rgb="FF000000"/>
        <rFont val="WenQuanYi Zen Hei"/>
        <family val="2"/>
      </rPr>
      <t xml:space="preserve">清倉價 €</t>
    </r>
    <r>
      <rPr>
        <sz val="10"/>
        <color rgb="FF000000"/>
        <rFont val="Arial"/>
        <family val="0"/>
        <charset val="1"/>
      </rPr>
      <t xml:space="preserve">286–303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</si>
  <si>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Samsung 50S 21700 </t>
    </r>
    <r>
      <rPr>
        <b val="true"/>
        <sz val="10"/>
        <rFont val="WenQuanYi Zen Hei"/>
        <family val="2"/>
      </rPr>
      <t xml:space="preserve">電芯（客製包量產價）</t>
    </r>
  </si>
  <si>
    <t xml:space="preserve">US$/Wh</t>
  </si>
  <si>
    <r>
      <rPr>
        <sz val="10"/>
        <color rgb="FF000000"/>
        <rFont val="Arial"/>
        <family val="0"/>
        <charset val="1"/>
      </rPr>
      <t xml:space="preserve">Alibaba </t>
    </r>
    <r>
      <rPr>
        <sz val="10"/>
        <color rgb="FF000000"/>
        <rFont val="WenQuanYi Zen Hei"/>
        <family val="2"/>
      </rPr>
      <t xml:space="preserve">客製電池：</t>
    </r>
    <r>
      <rPr>
        <sz val="10"/>
        <color rgb="FF000000"/>
        <rFont val="Arial"/>
        <family val="0"/>
        <charset val="1"/>
      </rPr>
      <t xml:space="preserve">US$1.45–2.20/</t>
    </r>
    <r>
      <rPr>
        <sz val="10"/>
        <color rgb="FF000000"/>
        <rFont val="WenQuanYi Zen Hei"/>
        <family val="2"/>
      </rPr>
      <t xml:space="preserve">顆（</t>
    </r>
    <r>
      <rPr>
        <sz val="10"/>
        <color rgb="FF000000"/>
        <rFont val="Arial"/>
        <family val="0"/>
        <charset val="1"/>
      </rPr>
      <t xml:space="preserve">18Wh</t>
    </r>
    <r>
      <rPr>
        <sz val="10"/>
        <color rgb="FF000000"/>
        <rFont val="WenQuanYi Zen Hei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US$0.08–0.12/Wh</t>
    </r>
    <r>
      <rPr>
        <sz val="10"/>
        <color rgb="FF000000"/>
        <rFont val="WenQuanYi Zen Hei"/>
        <family val="2"/>
      </rPr>
      <t xml:space="preserve">；中系 </t>
    </r>
    <r>
      <rPr>
        <sz val="10"/>
        <color rgb="FF000000"/>
        <rFont val="Arial"/>
        <family val="0"/>
        <charset val="1"/>
      </rPr>
      <t xml:space="preserve">50E </t>
    </r>
    <r>
      <rPr>
        <sz val="10"/>
        <color rgb="FF000000"/>
        <rFont val="WenQuanYi Zen Hei"/>
        <family val="2"/>
      </rPr>
      <t xml:space="preserve">級小批 </t>
    </r>
    <r>
      <rPr>
        <sz val="10"/>
        <color rgb="FF000000"/>
        <rFont val="Arial"/>
        <family val="0"/>
        <charset val="1"/>
      </rPr>
      <t xml:space="preserve">US$1.98–3.50/</t>
    </r>
    <r>
      <rPr>
        <sz val="10"/>
        <color rgb="FF000000"/>
        <rFont val="WenQuanYi Zen Hei"/>
        <family val="2"/>
      </rPr>
      <t xml:space="preserve">顆。</t>
    </r>
    <r>
      <rPr>
        <sz val="10"/>
        <color rgb="FF000000"/>
        <rFont val="Arial"/>
        <family val="0"/>
        <charset val="1"/>
      </rPr>
      <t xml:space="preserve">BNEF 2025 </t>
    </r>
    <r>
      <rPr>
        <sz val="10"/>
        <color rgb="FF000000"/>
        <rFont val="WenQuanYi Zen Hei"/>
        <family val="2"/>
      </rPr>
      <t xml:space="preserve">車用電芯均價 </t>
    </r>
    <r>
      <rPr>
        <sz val="10"/>
        <color rgb="FF000000"/>
        <rFont val="Arial"/>
        <family val="0"/>
        <charset val="1"/>
      </rPr>
      <t xml:space="preserve">US$79/kWh</t>
    </r>
    <r>
      <rPr>
        <sz val="10"/>
        <color rgb="FF000000"/>
        <rFont val="WenQuanYi Zen Hei"/>
        <family val="2"/>
      </rPr>
      <t xml:space="preserve">、電池包 </t>
    </r>
    <r>
      <rPr>
        <sz val="10"/>
        <color rgb="FF000000"/>
        <rFont val="Arial"/>
        <family val="0"/>
        <charset val="1"/>
      </rPr>
      <t xml:space="preserve">US$108/kWh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</si>
  <si>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720Wh </t>
    </r>
    <r>
      <rPr>
        <b val="true"/>
        <sz val="10"/>
        <rFont val="WenQuanYi Zen Hei"/>
        <family val="2"/>
      </rPr>
      <t xml:space="preserve">電池包 </t>
    </r>
    <r>
      <rPr>
        <b val="true"/>
        <sz val="10"/>
        <rFont val="Arial"/>
        <family val="0"/>
        <charset val="1"/>
      </rPr>
      <t xml:space="preserve">FOB </t>
    </r>
    <r>
      <rPr>
        <b val="true"/>
        <sz val="10"/>
        <rFont val="WenQuanYi Zen Hei"/>
        <family val="2"/>
      </rPr>
      <t xml:space="preserve">估價（</t>
    </r>
    <r>
      <rPr>
        <b val="true"/>
        <sz val="10"/>
        <rFont val="Arial"/>
        <family val="0"/>
        <charset val="1"/>
      </rPr>
      <t xml:space="preserve">Tier-1 </t>
    </r>
    <r>
      <rPr>
        <b val="true"/>
        <sz val="10"/>
        <rFont val="WenQuanYi Zen Hei"/>
        <family val="2"/>
      </rPr>
      <t xml:space="preserve">電芯）</t>
    </r>
  </si>
  <si>
    <r>
      <rPr>
        <sz val="10"/>
        <color rgb="FF000000"/>
        <rFont val="WenQuanYi Zen Hei"/>
        <family val="2"/>
      </rPr>
      <t xml:space="preserve">研究推估：電芯 </t>
    </r>
    <r>
      <rPr>
        <sz val="10"/>
        <color rgb="FF000000"/>
        <rFont val="Arial"/>
        <family val="0"/>
        <charset val="1"/>
      </rPr>
      <t xml:space="preserve">US$85–115 + BMS 12–35 + </t>
    </r>
    <r>
      <rPr>
        <sz val="10"/>
        <color rgb="FF000000"/>
        <rFont val="WenQuanYi Zen Hei"/>
        <family val="2"/>
      </rPr>
      <t xml:space="preserve">外殼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滑軌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鎖 </t>
    </r>
    <r>
      <rPr>
        <sz val="10"/>
        <color rgb="FF000000"/>
        <rFont val="Arial"/>
        <family val="0"/>
        <charset val="1"/>
      </rPr>
      <t xml:space="preserve">15–40 + </t>
    </r>
    <r>
      <rPr>
        <sz val="10"/>
        <color rgb="FF000000"/>
        <rFont val="WenQuanYi Zen Hei"/>
        <family val="2"/>
      </rPr>
      <t xml:space="preserve">組裝測試 </t>
    </r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WenQuanYi Zen Hei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US$130–210</t>
    </r>
    <r>
      <rPr>
        <sz val="10"/>
        <color rgb="FF000000"/>
        <rFont val="WenQuanYi Zen Hei"/>
        <family val="2"/>
      </rPr>
      <t xml:space="preserve">；電芯佔 </t>
    </r>
    <r>
      <rPr>
        <sz val="10"/>
        <color rgb="FF000000"/>
        <rFont val="Arial"/>
        <family val="0"/>
        <charset val="1"/>
      </rPr>
      <t xml:space="preserve">55–65%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</si>
  <si>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250W/85Nm </t>
    </r>
    <r>
      <rPr>
        <b val="true"/>
        <sz val="10"/>
        <rFont val="WenQuanYi Zen Hei"/>
        <family val="2"/>
      </rPr>
      <t xml:space="preserve">中置馬達出廠成本估價</t>
    </r>
  </si>
  <si>
    <r>
      <rPr>
        <sz val="10"/>
        <color rgb="FF000000"/>
        <rFont val="WenQuanYi Zen Hei"/>
        <family val="2"/>
      </rPr>
      <t xml:space="preserve">研究推估 </t>
    </r>
    <r>
      <rPr>
        <sz val="10"/>
        <color rgb="FF000000"/>
        <rFont val="Arial"/>
        <family val="0"/>
        <charset val="1"/>
      </rPr>
      <t xml:space="preserve">US$80–190</t>
    </r>
    <r>
      <rPr>
        <sz val="10"/>
        <color rgb="FF000000"/>
        <rFont val="WenQuanYi Zen Hei"/>
        <family val="2"/>
      </rPr>
      <t xml:space="preserve">：磁鋼 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WenQuanYi Zen Hei"/>
        <family val="2"/>
      </rPr>
      <t xml:space="preserve">、銅線 </t>
    </r>
    <r>
      <rPr>
        <sz val="10"/>
        <color rgb="FF000000"/>
        <rFont val="Arial"/>
        <family val="0"/>
        <charset val="1"/>
      </rPr>
      <t xml:space="preserve">7–12</t>
    </r>
    <r>
      <rPr>
        <sz val="10"/>
        <color rgb="FF000000"/>
        <rFont val="WenQuanYi Zen Hei"/>
        <family val="2"/>
      </rPr>
      <t xml:space="preserve">、矽鋼 </t>
    </r>
    <r>
      <rPr>
        <sz val="10"/>
        <color rgb="FF000000"/>
        <rFont val="Arial"/>
        <family val="0"/>
        <charset val="1"/>
      </rPr>
      <t xml:space="preserve">4–8</t>
    </r>
    <r>
      <rPr>
        <sz val="10"/>
        <color rgb="FF000000"/>
        <rFont val="WenQuanYi Zen Hei"/>
        <family val="2"/>
      </rPr>
      <t xml:space="preserve">、齒輪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軸承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離合 </t>
    </r>
    <r>
      <rPr>
        <sz val="10"/>
        <color rgb="FF000000"/>
        <rFont val="Arial"/>
        <family val="0"/>
        <charset val="1"/>
      </rPr>
      <t xml:space="preserve">15–35</t>
    </r>
    <r>
      <rPr>
        <sz val="10"/>
        <color rgb="FF000000"/>
        <rFont val="WenQuanYi Zen Hei"/>
        <family val="2"/>
      </rPr>
      <t xml:space="preserve">、壓鑄殼 </t>
    </r>
    <r>
      <rPr>
        <sz val="10"/>
        <color rgb="FF000000"/>
        <rFont val="Arial"/>
        <family val="0"/>
        <charset val="1"/>
      </rPr>
      <t xml:space="preserve">12–25</t>
    </r>
    <r>
      <rPr>
        <sz val="10"/>
        <color rgb="FF000000"/>
        <rFont val="WenQuanYi Zen Hei"/>
        <family val="2"/>
      </rPr>
      <t xml:space="preserve">、扭力感測 </t>
    </r>
    <r>
      <rPr>
        <sz val="10"/>
        <color rgb="FF000000"/>
        <rFont val="Arial"/>
        <family val="0"/>
        <charset val="1"/>
      </rPr>
      <t xml:space="preserve">8–25</t>
    </r>
    <r>
      <rPr>
        <sz val="10"/>
        <color rgb="FF000000"/>
        <rFont val="WenQuanYi Zen Hei"/>
        <family val="2"/>
      </rPr>
      <t xml:space="preserve">、驅動板 </t>
    </r>
    <r>
      <rPr>
        <sz val="10"/>
        <color rgb="FF000000"/>
        <rFont val="Arial"/>
        <family val="0"/>
        <charset val="1"/>
      </rPr>
      <t xml:space="preserve">12–25</t>
    </r>
    <r>
      <rPr>
        <sz val="10"/>
        <color rgb="FF000000"/>
        <rFont val="WenQuanYi Zen Hei"/>
        <family val="2"/>
      </rPr>
      <t xml:space="preserve">、組測 </t>
    </r>
    <r>
      <rPr>
        <sz val="10"/>
        <color rgb="FF000000"/>
        <rFont val="Arial"/>
        <family val="0"/>
        <charset val="1"/>
      </rPr>
      <t xml:space="preserve">10–20</t>
    </r>
    <r>
      <rPr>
        <sz val="10"/>
        <color rgb="FF000000"/>
        <rFont val="WenQuanYi Zen Hei"/>
        <family val="2"/>
      </rPr>
      <t xml:space="preserve">。安乃達中置毛利率約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</si>
  <si>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NdFeB </t>
    </r>
    <r>
      <rPr>
        <b val="true"/>
        <sz val="10"/>
        <rFont val="WenQuanYi Zen Hei"/>
        <family val="2"/>
      </rPr>
      <t xml:space="preserve">燒結磁鋼價格</t>
    </r>
  </si>
  <si>
    <t xml:space="preserve">US$/kg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</si>
  <si>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工業級 </t>
    </r>
    <r>
      <rPr>
        <sz val="10"/>
        <color rgb="FF000000"/>
        <rFont val="Arial"/>
        <family val="0"/>
        <charset val="1"/>
      </rPr>
      <t xml:space="preserve">US$65–120/kg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N52/SH/UH US$130–175/kg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NdPr </t>
    </r>
    <r>
      <rPr>
        <sz val="10"/>
        <color rgb="FF000000"/>
        <rFont val="WenQuanYi Zen Hei"/>
        <family val="2"/>
      </rPr>
      <t xml:space="preserve">氧化物 </t>
    </r>
    <r>
      <rPr>
        <sz val="10"/>
        <color rgb="FF000000"/>
        <rFont val="Arial"/>
        <family val="0"/>
        <charset val="1"/>
      </rPr>
      <t xml:space="preserve">Q2-2026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US$123–126/kg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2022 </t>
    </r>
    <r>
      <rPr>
        <sz val="10"/>
        <color rgb="FF000000"/>
        <rFont val="WenQuanYi Zen Hei"/>
        <family val="2"/>
      </rPr>
      <t xml:space="preserve">以來最高）。含 </t>
    </r>
    <r>
      <rPr>
        <sz val="10"/>
        <color rgb="FF000000"/>
        <rFont val="Arial"/>
        <family val="0"/>
        <charset val="1"/>
      </rPr>
      <t xml:space="preserve">Dy/Tb </t>
    </r>
    <r>
      <rPr>
        <sz val="10"/>
        <color rgb="FF000000"/>
        <rFont val="WenQuanYi Zen Hei"/>
        <family val="2"/>
      </rPr>
      <t xml:space="preserve">磁鋼需中國出口許可（</t>
    </r>
    <r>
      <rPr>
        <sz val="10"/>
        <color rgb="FF000000"/>
        <rFont val="Arial"/>
        <family val="0"/>
        <charset val="1"/>
      </rPr>
      <t xml:space="preserve">2025/4 </t>
    </r>
    <r>
      <rPr>
        <sz val="10"/>
        <color rgb="FF000000"/>
        <rFont val="WenQuanYi Zen Hei"/>
        <family val="2"/>
      </rPr>
      <t xml:space="preserve">起）。</t>
    </r>
  </si>
  <si>
    <r>
      <rPr>
        <b val="true"/>
        <sz val="10"/>
        <rFont val="Arial"/>
        <family val="0"/>
        <charset val="1"/>
      </rPr>
      <t xml:space="preserve">2.4 </t>
    </r>
    <r>
      <rPr>
        <b val="true"/>
        <sz val="10"/>
        <rFont val="WenQuanYi Zen Hei"/>
        <family val="2"/>
      </rPr>
      <t xml:space="preserve">吋 </t>
    </r>
    <r>
      <rPr>
        <b val="true"/>
        <sz val="10"/>
        <rFont val="Arial"/>
        <family val="0"/>
        <charset val="1"/>
      </rPr>
      <t xml:space="preserve">TFT CAN </t>
    </r>
    <r>
      <rPr>
        <b val="true"/>
        <sz val="10"/>
        <rFont val="WenQuanYi Zen Hei"/>
        <family val="2"/>
      </rPr>
      <t xml:space="preserve">顯示器（</t>
    </r>
    <r>
      <rPr>
        <b val="true"/>
        <sz val="10"/>
        <rFont val="Arial"/>
        <family val="0"/>
        <charset val="1"/>
      </rPr>
      <t xml:space="preserve">Alibaba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</si>
  <si>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US$39–45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Bafang </t>
    </r>
    <r>
      <rPr>
        <sz val="10"/>
        <color rgb="FF000000"/>
        <rFont val="WenQuanYi Zen Hei"/>
        <family val="2"/>
      </rPr>
      <t xml:space="preserve">相容）；單色 </t>
    </r>
    <r>
      <rPr>
        <sz val="10"/>
        <color rgb="FF000000"/>
        <rFont val="Arial"/>
        <family val="0"/>
        <charset val="1"/>
      </rPr>
      <t xml:space="preserve">LCD </t>
    </r>
    <r>
      <rPr>
        <sz val="10"/>
        <color rgb="FF000000"/>
        <rFont val="WenQuanYi Zen Hei"/>
        <family val="2"/>
      </rPr>
      <t xml:space="preserve">零售 </t>
    </r>
    <r>
      <rPr>
        <sz val="10"/>
        <color rgb="FF000000"/>
        <rFont val="Arial"/>
        <family val="0"/>
        <charset val="1"/>
      </rPr>
      <t xml:space="preserve">US$24–54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</si>
  <si>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4G Cat.1 </t>
    </r>
    <r>
      <rPr>
        <b val="true"/>
        <sz val="10"/>
        <rFont val="WenQuanYi Zen Hei"/>
        <family val="2"/>
      </rPr>
      <t xml:space="preserve">通訊模組（</t>
    </r>
    <r>
      <rPr>
        <b val="true"/>
        <sz val="10"/>
        <rFont val="Arial"/>
        <family val="0"/>
        <charset val="1"/>
      </rPr>
      <t xml:space="preserve">Quectel EC200S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</si>
  <si>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萬顆以上 </t>
    </r>
    <r>
      <rPr>
        <sz val="10"/>
        <color rgb="FF000000"/>
        <rFont val="Arial"/>
        <family val="0"/>
        <charset val="1"/>
      </rPr>
      <t xml:space="preserve">US$6.50</t>
    </r>
    <r>
      <rPr>
        <sz val="10"/>
        <color rgb="FF000000"/>
        <rFont val="WenQuanYi Zen Hei"/>
        <family val="2"/>
      </rPr>
      <t xml:space="preserve">；完整 </t>
    </r>
    <r>
      <rPr>
        <sz val="10"/>
        <color rgb="FF000000"/>
        <rFont val="Arial"/>
        <family val="0"/>
        <charset val="1"/>
      </rPr>
      <t xml:space="preserve">4G+GPS </t>
    </r>
    <r>
      <rPr>
        <sz val="10"/>
        <color rgb="FF000000"/>
        <rFont val="WenQuanYi Zen Hei"/>
        <family val="2"/>
      </rPr>
      <t xml:space="preserve">追蹤器零售 </t>
    </r>
    <r>
      <rPr>
        <sz val="10"/>
        <color rgb="FF000000"/>
        <rFont val="Arial"/>
        <family val="0"/>
        <charset val="1"/>
      </rPr>
      <t xml:space="preserve">US$38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IoT </t>
    </r>
    <r>
      <rPr>
        <sz val="10"/>
        <color rgb="FF000000"/>
        <rFont val="WenQuanYi Zen Hei"/>
        <family val="2"/>
      </rPr>
      <t xml:space="preserve">模組 </t>
    </r>
    <r>
      <rPr>
        <sz val="10"/>
        <color rgb="FF000000"/>
        <rFont val="Arial"/>
        <family val="0"/>
        <charset val="1"/>
      </rPr>
      <t xml:space="preserve">BOM </t>
    </r>
    <r>
      <rPr>
        <sz val="10"/>
        <color rgb="FF000000"/>
        <rFont val="WenQuanYi Zen Hei"/>
        <family val="2"/>
      </rPr>
      <t xml:space="preserve">推估 </t>
    </r>
    <r>
      <rPr>
        <sz val="10"/>
        <color rgb="FF000000"/>
        <rFont val="Arial"/>
        <family val="0"/>
        <charset val="1"/>
      </rPr>
      <t xml:space="preserve">US$15–25</t>
    </r>
    <r>
      <rPr>
        <sz val="10"/>
        <color rgb="FF000000"/>
        <rFont val="WenQuanYi Zen Hei"/>
        <family val="2"/>
      </rPr>
      <t xml:space="preserve">。</t>
    </r>
  </si>
  <si>
    <t xml:space="preserve">中軸扭力感測器（中系批量）</t>
  </si>
  <si>
    <r>
      <rPr>
        <sz val="10"/>
        <color rgb="FF000000"/>
        <rFont val="Arial"/>
        <family val="0"/>
        <charset val="1"/>
      </rPr>
      <t xml:space="preserve">US$15–40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NCTE/Thun </t>
    </r>
    <r>
      <rPr>
        <sz val="10"/>
        <color rgb="FF000000"/>
        <rFont val="WenQuanYi Zen Hei"/>
        <family val="2"/>
      </rPr>
      <t xml:space="preserve">型售後約 </t>
    </r>
    <r>
      <rPr>
        <sz val="10"/>
        <color rgb="FF000000"/>
        <rFont val="Arial"/>
        <family val="0"/>
        <charset val="1"/>
      </rPr>
      <t xml:space="preserve">US$150–160</t>
    </r>
    <r>
      <rPr>
        <sz val="10"/>
        <color rgb="FF000000"/>
        <rFont val="WenQuanYi Zen Hei"/>
        <family val="2"/>
      </rPr>
      <t xml:space="preserve">（達方 </t>
    </r>
    <r>
      <rPr>
        <sz val="10"/>
        <color rgb="FF000000"/>
        <rFont val="Arial"/>
        <family val="0"/>
        <charset val="1"/>
      </rPr>
      <t xml:space="preserve">Thun </t>
    </r>
    <r>
      <rPr>
        <sz val="10"/>
        <color rgb="FF000000"/>
        <rFont val="WenQuanYi Zen Hei"/>
        <family val="2"/>
      </rPr>
      <t xml:space="preserve">錨點 </t>
    </r>
    <r>
      <rPr>
        <sz val="10"/>
        <color rgb="FF000000"/>
        <rFont val="Arial"/>
        <family val="0"/>
        <charset val="1"/>
      </rPr>
      <t xml:space="preserve">NT$4,576</t>
    </r>
    <r>
      <rPr>
        <sz val="10"/>
        <color rgb="FF000000"/>
        <rFont val="WenQuanYi Zen Hei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</si>
  <si>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EN 15194 + EMC + </t>
    </r>
    <r>
      <rPr>
        <b val="true"/>
        <sz val="10"/>
        <rFont val="WenQuanYi Zen Hei"/>
        <family val="2"/>
      </rPr>
      <t xml:space="preserve">電池 新平台認證</t>
    </r>
  </si>
  <si>
    <r>
      <rPr>
        <sz val="10"/>
        <color rgb="FF000000"/>
        <rFont val="Arial"/>
        <family val="0"/>
        <charset val="1"/>
      </rPr>
      <t xml:space="preserve">US$80,000–180,000</t>
    </r>
    <r>
      <rPr>
        <sz val="10"/>
        <color rgb="FF000000"/>
        <rFont val="WenQuanYi Zen Hei"/>
        <family val="2"/>
      </rPr>
      <t xml:space="preserve">／新平台；沿用已認證電池可省 </t>
    </r>
    <r>
      <rPr>
        <sz val="10"/>
        <color rgb="FF000000"/>
        <rFont val="Arial"/>
        <family val="0"/>
        <charset val="1"/>
      </rPr>
      <t xml:space="preserve">US$20–50k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UL 2849 </t>
    </r>
    <r>
      <rPr>
        <sz val="10"/>
        <color rgb="FF000000"/>
        <rFont val="WenQuanYi Zen Hei"/>
        <family val="2"/>
      </rPr>
      <t xml:space="preserve">每型 </t>
    </r>
    <r>
      <rPr>
        <sz val="10"/>
        <color rgb="FF000000"/>
        <rFont val="Arial"/>
        <family val="0"/>
        <charset val="1"/>
      </rPr>
      <t xml:space="preserve">US$5–15k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UN38.3 </t>
    </r>
    <r>
      <rPr>
        <sz val="10"/>
        <color rgb="FF000000"/>
        <rFont val="WenQuanYi Zen Hei"/>
        <family val="2"/>
      </rPr>
      <t xml:space="preserve">每組 </t>
    </r>
    <r>
      <rPr>
        <sz val="10"/>
        <color rgb="FF000000"/>
        <rFont val="Arial"/>
        <family val="0"/>
        <charset val="1"/>
      </rPr>
      <t xml:space="preserve">US$300–2,000</t>
    </r>
    <r>
      <rPr>
        <sz val="10"/>
        <color rgb="FF000000"/>
        <rFont val="WenQuanYi Zen Hei"/>
        <family val="2"/>
      </rPr>
      <t xml:space="preserve">。</t>
    </r>
  </si>
  <si>
    <t xml:space="preserve">Swapfiets 2024 ARPM</t>
  </si>
  <si>
    <r>
      <rPr>
        <sz val="10"/>
        <color rgb="FF000000"/>
        <rFont val="Arial"/>
        <family val="0"/>
        <charset val="1"/>
      </rPr>
      <t xml:space="preserve">€/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</si>
  <si>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營收 €</t>
    </r>
    <r>
      <rPr>
        <sz val="10"/>
        <color rgb="FF000000"/>
        <rFont val="Arial"/>
        <family val="0"/>
        <charset val="1"/>
      </rPr>
      <t xml:space="preserve">91.1M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+7%</t>
    </r>
    <r>
      <rPr>
        <sz val="10"/>
        <color rgb="FF000000"/>
        <rFont val="WenQuanYi Zen Hei"/>
        <family val="2"/>
      </rPr>
      <t xml:space="preserve">）、成本 €</t>
    </r>
    <r>
      <rPr>
        <sz val="10"/>
        <color rgb="FF000000"/>
        <rFont val="Arial"/>
        <family val="0"/>
        <charset val="1"/>
      </rPr>
      <t xml:space="preserve">61.1M</t>
    </r>
    <r>
      <rPr>
        <sz val="10"/>
        <color rgb="FF000000"/>
        <rFont val="WenQuanYi Zen Hei"/>
        <family val="2"/>
      </rPr>
      <t xml:space="preserve">（毛利率約 </t>
    </r>
    <r>
      <rPr>
        <sz val="10"/>
        <color rgb="FF000000"/>
        <rFont val="Arial"/>
        <family val="0"/>
        <charset val="1"/>
      </rPr>
      <t xml:space="preserve">33%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EBIT −€17.3M</t>
    </r>
    <r>
      <rPr>
        <sz val="10"/>
        <color rgb="FF000000"/>
        <rFont val="WenQuanYi Zen Hei"/>
        <family val="2"/>
      </rPr>
      <t xml:space="preserve">、淨損 €</t>
    </r>
    <r>
      <rPr>
        <sz val="10"/>
        <color rgb="FF000000"/>
        <rFont val="Arial"/>
        <family val="0"/>
        <charset val="1"/>
      </rPr>
      <t xml:space="preserve">14.3M</t>
    </r>
    <r>
      <rPr>
        <sz val="10"/>
        <color rgb="FF000000"/>
        <rFont val="WenQuanYi Zen Hei"/>
        <family val="2"/>
      </rPr>
      <t xml:space="preserve">；會員 </t>
    </r>
    <r>
      <rPr>
        <sz val="10"/>
        <color rgb="FF000000"/>
        <rFont val="Arial"/>
        <family val="0"/>
        <charset val="1"/>
      </rPr>
      <t xml:space="preserve">26.68 </t>
    </r>
    <r>
      <rPr>
        <sz val="10"/>
        <color rgb="FF000000"/>
        <rFont val="WenQuanYi Zen Hei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e-bike 5.2 </t>
    </r>
    <r>
      <rPr>
        <sz val="10"/>
        <color rgb="FF000000"/>
        <rFont val="WenQuanYi Zen Hei"/>
        <family val="2"/>
      </rPr>
      <t xml:space="preserve">萬台；</t>
    </r>
    <r>
      <rPr>
        <sz val="10"/>
        <color rgb="FF000000"/>
        <rFont val="Arial"/>
        <family val="0"/>
        <charset val="1"/>
      </rPr>
      <t xml:space="preserve">2026/5 </t>
    </r>
    <r>
      <rPr>
        <sz val="10"/>
        <color rgb="FF000000"/>
        <rFont val="WenQuanYi Zen Hei"/>
        <family val="2"/>
      </rPr>
      <t xml:space="preserve">併 </t>
    </r>
    <r>
      <rPr>
        <sz val="10"/>
        <color rgb="FF000000"/>
        <rFont val="Arial"/>
        <family val="0"/>
        <charset val="1"/>
      </rPr>
      <t xml:space="preserve">Dance </t>
    </r>
    <r>
      <rPr>
        <sz val="10"/>
        <color rgb="FF000000"/>
        <rFont val="WenQuanYi Zen Hei"/>
        <family val="2"/>
      </rPr>
      <t xml:space="preserve">後訂閱 </t>
    </r>
    <r>
      <rPr>
        <sz val="10"/>
        <color rgb="FF000000"/>
        <rFont val="Arial"/>
        <family val="0"/>
        <charset val="1"/>
      </rPr>
      <t xml:space="preserve">e-bike &gt;7.5 </t>
    </r>
    <r>
      <rPr>
        <sz val="10"/>
        <color rgb="FF000000"/>
        <rFont val="WenQuanYi Zen Hei"/>
        <family val="2"/>
      </rPr>
      <t xml:space="preserve">萬台。</t>
    </r>
  </si>
  <si>
    <r>
      <rPr>
        <b val="true"/>
        <sz val="10"/>
        <rFont val="Arial"/>
        <family val="0"/>
        <charset val="1"/>
      </rPr>
      <t xml:space="preserve">Swapfiets Power 7 </t>
    </r>
    <r>
      <rPr>
        <b val="true"/>
        <sz val="10"/>
        <rFont val="WenQuanYi Zen Hei"/>
        <family val="2"/>
      </rPr>
      <t xml:space="preserve">月費（德國）</t>
    </r>
  </si>
  <si>
    <r>
      <rPr>
        <sz val="10"/>
        <color rgb="FF000000"/>
        <rFont val="Arial"/>
        <family val="0"/>
        <charset val="1"/>
      </rPr>
      <t xml:space="preserve">€/</t>
    </r>
    <r>
      <rPr>
        <sz val="10"/>
        <color rgb="FF000000"/>
        <rFont val="WenQuanYi Zen Hei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</si>
  <si>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Power 1 €49.90–59.90/</t>
    </r>
    <r>
      <rPr>
        <sz val="10"/>
        <color rgb="FF000000"/>
        <rFont val="WenQuanYi Zen Hei"/>
        <family val="2"/>
      </rPr>
      <t xml:space="preserve">月；</t>
    </r>
    <r>
      <rPr>
        <sz val="10"/>
        <color rgb="FF000000"/>
        <rFont val="Arial"/>
        <family val="0"/>
        <charset val="1"/>
      </rPr>
      <t xml:space="preserve">Power 7 €73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</t>
    </r>
    <r>
      <rPr>
        <sz val="10"/>
        <color rgb="FF000000"/>
        <rFont val="WenQuanYi Zen Hei"/>
        <family val="2"/>
      </rPr>
      <t xml:space="preserve">）–€</t>
    </r>
    <r>
      <rPr>
        <sz val="10"/>
        <color rgb="FF000000"/>
        <rFont val="Arial"/>
        <family val="0"/>
        <charset val="1"/>
      </rPr>
      <t xml:space="preserve">109.90</t>
    </r>
    <r>
      <rPr>
        <sz val="10"/>
        <color rgb="FF000000"/>
        <rFont val="WenQuanYi Zen Hei"/>
        <family val="2"/>
      </rPr>
      <t xml:space="preserve">（巴黎）；失竊自付 €</t>
    </r>
    <r>
      <rPr>
        <sz val="10"/>
        <color rgb="FF000000"/>
        <rFont val="Arial"/>
        <family val="0"/>
        <charset val="1"/>
      </rPr>
      <t xml:space="preserve">0–900</t>
    </r>
    <r>
      <rPr>
        <sz val="10"/>
        <color rgb="FF000000"/>
        <rFont val="WenQuanYi Zen Hei"/>
        <family val="2"/>
      </rPr>
      <t xml:space="preserve">、電池遺失 €</t>
    </r>
    <r>
      <rPr>
        <sz val="10"/>
        <color rgb="FF000000"/>
        <rFont val="Arial"/>
        <family val="0"/>
        <charset val="1"/>
      </rPr>
      <t xml:space="preserve">175–500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</si>
  <si>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Dance 2024 ARPU</t>
    </r>
    <r>
      <rPr>
        <b val="true"/>
        <sz val="10"/>
        <rFont val="WenQuanYi Zen Hei"/>
        <family val="2"/>
      </rPr>
      <t xml:space="preserve">（推算）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</si>
  <si>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營收 €</t>
    </r>
    <r>
      <rPr>
        <sz val="10"/>
        <color rgb="FF000000"/>
        <rFont val="Arial"/>
        <family val="0"/>
        <charset val="1"/>
      </rPr>
      <t xml:space="preserve">8.0M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+29%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EBITDA −€3.6M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&gt;1.13 </t>
    </r>
    <r>
      <rPr>
        <sz val="10"/>
        <color rgb="FF000000"/>
        <rFont val="WenQuanYi Zen Hei"/>
        <family val="2"/>
      </rPr>
      <t xml:space="preserve">萬活躍用戶、</t>
    </r>
    <r>
      <rPr>
        <sz val="10"/>
        <color rgb="FF000000"/>
        <rFont val="Arial"/>
        <family val="0"/>
        <charset val="1"/>
      </rPr>
      <t xml:space="preserve">77% </t>
    </r>
    <r>
      <rPr>
        <sz val="10"/>
        <color rgb="FF000000"/>
        <rFont val="WenQuanYi Zen Hei"/>
        <family val="2"/>
      </rPr>
      <t xml:space="preserve">年約；定價 €</t>
    </r>
    <r>
      <rPr>
        <sz val="10"/>
        <color rgb="FF000000"/>
        <rFont val="Arial"/>
        <family val="0"/>
        <charset val="1"/>
      </rPr>
      <t xml:space="preserve">69/</t>
    </r>
    <r>
      <rPr>
        <sz val="10"/>
        <color rgb="FF000000"/>
        <rFont val="WenQuanYi Zen Hei"/>
        <family val="2"/>
      </rPr>
      <t xml:space="preserve">月（促銷 €</t>
    </r>
    <r>
      <rPr>
        <sz val="10"/>
        <color rgb="FF000000"/>
        <rFont val="Arial"/>
        <family val="0"/>
        <charset val="1"/>
      </rPr>
      <t xml:space="preserve">59</t>
    </r>
    <r>
      <rPr>
        <sz val="10"/>
        <color rgb="FF000000"/>
        <rFont val="WenQuanYi Zen Hei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</si>
  <si>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Zoomo </t>
    </r>
    <r>
      <rPr>
        <b val="true"/>
        <sz val="10"/>
        <rFont val="WenQuanYi Zen Hei"/>
        <family val="2"/>
      </rPr>
      <t xml:space="preserve">美國 </t>
    </r>
    <r>
      <rPr>
        <b val="true"/>
        <sz val="10"/>
        <rFont val="Arial"/>
        <family val="0"/>
        <charset val="1"/>
      </rPr>
      <t xml:space="preserve">Flex </t>
    </r>
    <r>
      <rPr>
        <b val="true"/>
        <sz val="10"/>
        <rFont val="WenQuanYi Zen Hei"/>
        <family val="2"/>
      </rPr>
      <t xml:space="preserve">週租</t>
    </r>
  </si>
  <si>
    <r>
      <rPr>
        <sz val="10"/>
        <color rgb="FF000000"/>
        <rFont val="Arial"/>
        <family val="0"/>
        <charset val="1"/>
      </rPr>
      <t xml:space="preserve">US$/</t>
    </r>
    <r>
      <rPr>
        <sz val="10"/>
        <color rgb="FF000000"/>
        <rFont val="WenQuanYi Zen Hei"/>
        <family val="2"/>
      </rPr>
      <t xml:space="preserve">週</t>
    </r>
  </si>
  <si>
    <r>
      <rPr>
        <sz val="10"/>
        <color rgb="FF000000"/>
        <rFont val="WenQuanYi Zen Hei"/>
        <family val="2"/>
      </rPr>
      <t xml:space="preserve">無合約、含維修耗材、失竊保障另計；澳洲 </t>
    </r>
    <r>
      <rPr>
        <sz val="10"/>
        <color rgb="FF000000"/>
        <rFont val="Arial"/>
        <family val="0"/>
        <charset val="1"/>
      </rPr>
      <t xml:space="preserve">A$29–89/</t>
    </r>
    <r>
      <rPr>
        <sz val="10"/>
        <color rgb="FF000000"/>
        <rFont val="WenQuanYi Zen Hei"/>
        <family val="2"/>
      </rPr>
      <t xml:space="preserve">週。</t>
    </r>
    <r>
      <rPr>
        <sz val="10"/>
        <color rgb="FF000000"/>
        <rFont val="Arial"/>
        <family val="0"/>
        <charset val="1"/>
      </rPr>
      <t xml:space="preserve">2023 </t>
    </r>
    <r>
      <rPr>
        <sz val="10"/>
        <color rgb="FF000000"/>
        <rFont val="WenQuanYi Zen Hei"/>
        <family val="2"/>
      </rPr>
      <t xml:space="preserve">兩度裁員求獲利。</t>
    </r>
  </si>
  <si>
    <r>
      <rPr>
        <b val="true"/>
        <sz val="10"/>
        <rFont val="Arial"/>
        <family val="0"/>
        <charset val="1"/>
      </rPr>
      <t xml:space="preserve">Gogoro 2025 </t>
    </r>
    <r>
      <rPr>
        <b val="true"/>
        <sz val="10"/>
        <rFont val="WenQuanYi Zen Hei"/>
        <family val="2"/>
      </rPr>
      <t xml:space="preserve">換電 </t>
    </r>
    <r>
      <rPr>
        <b val="true"/>
        <sz val="10"/>
        <rFont val="Arial"/>
        <family val="0"/>
        <charset val="1"/>
      </rPr>
      <t xml:space="preserve">ARPU</t>
    </r>
    <r>
      <rPr>
        <b val="true"/>
        <sz val="10"/>
        <rFont val="WenQuanYi Zen Hei"/>
        <family val="2"/>
      </rPr>
      <t xml:space="preserve">（推算）</t>
    </r>
  </si>
  <si>
    <r>
      <rPr>
        <sz val="10"/>
        <color rgb="FF000000"/>
        <rFont val="Arial"/>
        <family val="0"/>
        <charset val="1"/>
      </rPr>
      <t xml:space="preserve">US$/</t>
    </r>
    <r>
      <rPr>
        <sz val="10"/>
        <color rgb="FF000000"/>
        <rFont val="WenQuanYi Zen Hei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</si>
  <si>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換電營收 </t>
    </r>
    <r>
      <rPr>
        <sz val="10"/>
        <color rgb="FF000000"/>
        <rFont val="Arial"/>
        <family val="0"/>
        <charset val="1"/>
      </rPr>
      <t xml:space="preserve">US$149.0M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+8.1%</t>
    </r>
    <r>
      <rPr>
        <sz val="10"/>
        <color rgb="FF000000"/>
        <rFont val="WenQuanYi Zen Hei"/>
        <family val="2"/>
      </rPr>
      <t xml:space="preserve">）、訂戶 </t>
    </r>
    <r>
      <rPr>
        <sz val="10"/>
        <color rgb="FF000000"/>
        <rFont val="Arial"/>
        <family val="0"/>
        <charset val="1"/>
      </rPr>
      <t xml:space="preserve">66.5 </t>
    </r>
    <r>
      <rPr>
        <sz val="10"/>
        <color rgb="FF000000"/>
        <rFont val="WenQuanYi Zen Hei"/>
        <family val="2"/>
      </rPr>
      <t xml:space="preserve">萬、非 </t>
    </r>
    <r>
      <rPr>
        <sz val="10"/>
        <color rgb="FF000000"/>
        <rFont val="Arial"/>
        <family val="0"/>
        <charset val="1"/>
      </rPr>
      <t xml:space="preserve">IFRS </t>
    </r>
    <r>
      <rPr>
        <sz val="10"/>
        <color rgb="FF000000"/>
        <rFont val="WenQuanYi Zen Hei"/>
        <family val="2"/>
      </rPr>
      <t xml:space="preserve">毛利率 </t>
    </r>
    <r>
      <rPr>
        <sz val="10"/>
        <color rgb="FF000000"/>
        <rFont val="Arial"/>
        <family val="0"/>
        <charset val="1"/>
      </rPr>
      <t xml:space="preserve">19.5%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Q2-26 </t>
    </r>
    <r>
      <rPr>
        <sz val="10"/>
        <color rgb="FF000000"/>
        <rFont val="WenQuanYi Zen Hei"/>
        <family val="2"/>
      </rPr>
      <t xml:space="preserve">毛利率 </t>
    </r>
    <r>
      <rPr>
        <sz val="10"/>
        <color rgb="FF000000"/>
        <rFont val="Arial"/>
        <family val="0"/>
        <charset val="1"/>
      </rPr>
      <t xml:space="preserve">22.6%</t>
    </r>
    <r>
      <rPr>
        <sz val="10"/>
        <color rgb="FF000000"/>
        <rFont val="WenQuanYi Zen Hei"/>
        <family val="2"/>
      </rPr>
      <t xml:space="preserve">（五年新高）、淨損 </t>
    </r>
    <r>
      <rPr>
        <sz val="10"/>
        <color rgb="FF000000"/>
        <rFont val="Arial"/>
        <family val="0"/>
        <charset val="1"/>
      </rPr>
      <t xml:space="preserve">US$80.8M</t>
    </r>
    <r>
      <rPr>
        <sz val="10"/>
        <color rgb="FF000000"/>
        <rFont val="WenQuanYi Zen Hei"/>
        <family val="2"/>
      </rPr>
      <t xml:space="preserve">；站點 </t>
    </r>
    <r>
      <rPr>
        <sz val="10"/>
        <color rgb="FF000000"/>
        <rFont val="Arial"/>
        <family val="0"/>
        <charset val="1"/>
      </rPr>
      <t xml:space="preserve">&gt;2,700</t>
    </r>
    <r>
      <rPr>
        <sz val="10"/>
        <color rgb="FF000000"/>
        <rFont val="WenQuanYi Zen Hei"/>
        <family val="2"/>
      </rPr>
      <t xml:space="preserve">、電池約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WenQuanYi Zen Hei"/>
        <family val="2"/>
      </rPr>
      <t xml:space="preserve">萬顆。方案 </t>
    </r>
    <r>
      <rPr>
        <sz val="10"/>
        <color rgb="FF000000"/>
        <rFont val="Arial"/>
        <family val="0"/>
        <charset val="1"/>
      </rPr>
      <t xml:space="preserve">NT$499–1,199/</t>
    </r>
    <r>
      <rPr>
        <sz val="10"/>
        <color rgb="FF000000"/>
        <rFont val="WenQuanYi Zen Hei"/>
        <family val="2"/>
      </rPr>
      <t xml:space="preserve">月。</t>
    </r>
  </si>
  <si>
    <r>
      <rPr>
        <b val="true"/>
        <sz val="10"/>
        <rFont val="Arial"/>
        <family val="0"/>
        <charset val="1"/>
      </rPr>
      <t xml:space="preserve">Kymco Ionex </t>
    </r>
    <r>
      <rPr>
        <b val="true"/>
        <sz val="10"/>
        <rFont val="WenQuanYi Zen Hei"/>
        <family val="2"/>
      </rPr>
      <t xml:space="preserve">單電池最低月費</t>
    </r>
  </si>
  <si>
    <r>
      <rPr>
        <sz val="10"/>
        <color rgb="FF000000"/>
        <rFont val="Arial"/>
        <family val="0"/>
        <charset val="1"/>
      </rPr>
      <t xml:space="preserve">NT$/</t>
    </r>
    <r>
      <rPr>
        <sz val="10"/>
        <color rgb="FF000000"/>
        <rFont val="WenQuanYi Zen Hei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</si>
  <si>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NT$188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63km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/221/421</t>
    </r>
    <r>
      <rPr>
        <sz val="10"/>
        <color rgb="FF000000"/>
        <rFont val="WenQuanYi Zen Hei"/>
        <family val="2"/>
      </rPr>
      <t xml:space="preserve">；雙電池 </t>
    </r>
    <r>
      <rPr>
        <sz val="10"/>
        <color rgb="FF000000"/>
        <rFont val="Arial"/>
        <family val="0"/>
        <charset val="1"/>
      </rPr>
      <t xml:space="preserve">NT$518–2,018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2025/3 </t>
    </r>
    <r>
      <rPr>
        <sz val="10"/>
        <color rgb="FF000000"/>
        <rFont val="WenQuanYi Zen Hei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NT$498 </t>
    </r>
    <r>
      <rPr>
        <sz val="10"/>
        <color rgb="FF000000"/>
        <rFont val="WenQuanYi Zen Hei"/>
        <family val="2"/>
      </rPr>
      <t xml:space="preserve">吃到飽。</t>
    </r>
  </si>
  <si>
    <r>
      <rPr>
        <b val="true"/>
        <sz val="10"/>
        <rFont val="WenQuanYi Zen Hei"/>
        <family val="2"/>
      </rPr>
      <t xml:space="preserve">德國公司自行車租賃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市場規模</t>
    </r>
  </si>
  <si>
    <t xml:space="preserve">€十億</t>
  </si>
  <si>
    <r>
      <rPr>
        <sz val="10"/>
        <color rgb="FF000000"/>
        <rFont val="Arial"/>
        <family val="0"/>
        <charset val="1"/>
      </rPr>
      <t xml:space="preserve">Deloitte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Zukunft Fahrrad</t>
    </r>
    <r>
      <rPr>
        <sz val="10"/>
        <color rgb="FF000000"/>
        <rFont val="WenQuanYi Zen Hei"/>
        <family val="2"/>
      </rPr>
      <t xml:space="preserve">：€</t>
    </r>
    <r>
      <rPr>
        <sz val="10"/>
        <color rgb="FF000000"/>
        <rFont val="Arial"/>
        <family val="0"/>
        <charset val="1"/>
      </rPr>
      <t xml:space="preserve">2.8B</t>
    </r>
    <r>
      <rPr>
        <sz val="10"/>
        <color rgb="FF000000"/>
        <rFont val="WenQuanYi Zen Hei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WenQuanYi Zen Hei"/>
        <family val="2"/>
      </rPr>
      <t xml:space="preserve">）、新約約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WenQuanYi Zen Hei"/>
        <family val="2"/>
      </rPr>
      <t xml:space="preserve">萬、車隊 </t>
    </r>
    <r>
      <rPr>
        <sz val="10"/>
        <color rgb="FF000000"/>
        <rFont val="Arial"/>
        <family val="0"/>
        <charset val="1"/>
      </rPr>
      <t xml:space="preserve">220 </t>
    </r>
    <r>
      <rPr>
        <sz val="10"/>
        <color rgb="FF000000"/>
        <rFont val="WenQuanYi Zen Hei"/>
        <family val="2"/>
      </rPr>
      <t xml:space="preserve">萬台、</t>
    </r>
    <r>
      <rPr>
        <sz val="10"/>
        <color rgb="FF000000"/>
        <rFont val="Arial"/>
        <family val="0"/>
        <charset val="1"/>
      </rPr>
      <t xml:space="preserve">e-bike </t>
    </r>
    <r>
      <rPr>
        <sz val="10"/>
        <color rgb="FF000000"/>
        <rFont val="WenQuanYi Zen Hei"/>
        <family val="2"/>
      </rPr>
      <t xml:space="preserve">佔 </t>
    </r>
    <r>
      <rPr>
        <sz val="10"/>
        <color rgb="FF000000"/>
        <rFont val="Arial"/>
        <family val="0"/>
        <charset val="1"/>
      </rPr>
      <t xml:space="preserve">78%</t>
    </r>
    <r>
      <rPr>
        <sz val="10"/>
        <color rgb="FF000000"/>
        <rFont val="WenQuanYi Zen Hei"/>
        <family val="2"/>
      </rPr>
      <t xml:space="preserve">、平均租賃 </t>
    </r>
    <r>
      <rPr>
        <sz val="10"/>
        <color rgb="FF000000"/>
        <rFont val="Arial"/>
        <family val="0"/>
        <charset val="1"/>
      </rPr>
      <t xml:space="preserve">e-bike €3,700 vs </t>
    </r>
    <r>
      <rPr>
        <sz val="10"/>
        <color rgb="FF000000"/>
        <rFont val="WenQuanYi Zen Hei"/>
        <family val="2"/>
      </rPr>
      <t xml:space="preserve">市場均價 €</t>
    </r>
    <r>
      <rPr>
        <sz val="10"/>
        <color rgb="FF000000"/>
        <rFont val="Arial"/>
        <family val="0"/>
        <charset val="1"/>
      </rPr>
      <t xml:space="preserve">2,550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JobRad </t>
    </r>
    <r>
      <rPr>
        <sz val="10"/>
        <color rgb="FF000000"/>
        <rFont val="WenQuanYi Zen Hei"/>
        <family val="2"/>
      </rPr>
      <t xml:space="preserve">累計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WenQuanYi Zen Hei"/>
        <family val="2"/>
      </rPr>
      <t xml:space="preserve">萬台、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裁員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</si>
  <si>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Onomotion ONO cargo </t>
    </r>
    <r>
      <rPr>
        <b val="true"/>
        <sz val="10"/>
        <rFont val="WenQuanYi Zen Hei"/>
        <family val="2"/>
      </rPr>
      <t xml:space="preserve">月租</t>
    </r>
  </si>
  <si>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WenQuanYi Zen Hei"/>
        <family val="2"/>
      </rPr>
      <t xml:space="preserve">個月含貨箱與全服務（</t>
    </r>
    <r>
      <rPr>
        <sz val="10"/>
        <color rgb="FF000000"/>
        <rFont val="Arial"/>
        <family val="0"/>
        <charset val="1"/>
      </rPr>
      <t xml:space="preserve">2022 </t>
    </r>
    <r>
      <rPr>
        <sz val="10"/>
        <color rgb="FF000000"/>
        <rFont val="WenQuanYi Zen Hei"/>
        <family val="2"/>
      </rPr>
      <t xml:space="preserve">上市價 €</t>
    </r>
    <r>
      <rPr>
        <sz val="10"/>
        <color rgb="FF000000"/>
        <rFont val="Arial"/>
        <family val="0"/>
        <charset val="1"/>
      </rPr>
      <t xml:space="preserve">490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Riese &amp; Müller Business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Urban Arrow </t>
    </r>
    <r>
      <rPr>
        <sz val="10"/>
        <color rgb="FF000000"/>
        <rFont val="WenQuanYi Zen Hei"/>
        <family val="2"/>
      </rPr>
      <t xml:space="preserve">提供車隊租賃但未公布價格。</t>
    </r>
  </si>
  <si>
    <r>
      <rPr>
        <b val="true"/>
        <sz val="10"/>
        <rFont val="WenQuanYi Zen Hei"/>
        <family val="2"/>
      </rPr>
      <t xml:space="preserve">歐洲 </t>
    </r>
    <r>
      <rPr>
        <b val="true"/>
        <sz val="10"/>
        <rFont val="Arial"/>
        <family val="0"/>
        <charset val="1"/>
      </rPr>
      <t xml:space="preserve">e-bike </t>
    </r>
    <r>
      <rPr>
        <b val="true"/>
        <sz val="10"/>
        <rFont val="WenQuanYi Zen Hei"/>
        <family val="2"/>
      </rPr>
      <t xml:space="preserve">失竊暴露率（</t>
    </r>
    <r>
      <rPr>
        <b val="true"/>
        <sz val="10"/>
        <rFont val="Arial"/>
        <family val="0"/>
        <charset val="1"/>
      </rPr>
      <t xml:space="preserve">GfK 2025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</si>
  <si>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BE 16%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 13%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NL 11%</t>
    </r>
    <r>
      <rPr>
        <sz val="10"/>
        <color rgb="FF000000"/>
        <rFont val="WenQuanYi Zen Hei"/>
        <family val="2"/>
      </rPr>
      <t xml:space="preserve">（定義待驗證）；德國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失竊 </t>
    </r>
    <r>
      <rPr>
        <sz val="10"/>
        <color rgb="FF000000"/>
        <rFont val="Arial"/>
        <family val="0"/>
        <charset val="1"/>
      </rPr>
      <t xml:space="preserve">21.4 </t>
    </r>
    <r>
      <rPr>
        <sz val="10"/>
        <color rgb="FF000000"/>
        <rFont val="WenQuanYi Zen Hei"/>
        <family val="2"/>
      </rPr>
      <t xml:space="preserve">萬台、保險均賠 €</t>
    </r>
    <r>
      <rPr>
        <sz val="10"/>
        <color rgb="FF000000"/>
        <rFont val="Arial"/>
        <family val="0"/>
        <charset val="1"/>
      </rPr>
      <t xml:space="preserve">1,270</t>
    </r>
    <r>
      <rPr>
        <sz val="10"/>
        <color rgb="FF000000"/>
        <rFont val="WenQuanYi Zen Hei"/>
        <family val="2"/>
      </rPr>
      <t xml:space="preserve">；荷蘭 </t>
    </r>
    <r>
      <rPr>
        <sz val="10"/>
        <color rgb="FF000000"/>
        <rFont val="Arial"/>
        <family val="0"/>
        <charset val="1"/>
      </rPr>
      <t xml:space="preserve">2024 e-bike </t>
    </r>
    <r>
      <rPr>
        <sz val="10"/>
        <color rgb="FF000000"/>
        <rFont val="WenQuanYi Zen Hei"/>
        <family val="2"/>
      </rPr>
      <t xml:space="preserve">失竊 </t>
    </r>
    <r>
      <rPr>
        <sz val="10"/>
        <color rgb="FF000000"/>
        <rFont val="Arial"/>
        <family val="0"/>
        <charset val="1"/>
      </rPr>
      <t xml:space="preserve">7.3–11 </t>
    </r>
    <r>
      <rPr>
        <sz val="10"/>
        <color rgb="FF000000"/>
        <rFont val="WenQuanYi Zen Hei"/>
        <family val="2"/>
      </rPr>
      <t xml:space="preserve">萬台。</t>
    </r>
  </si>
  <si>
    <r>
      <rPr>
        <b val="true"/>
        <sz val="10"/>
        <rFont val="WenQuanYi Zen Hei"/>
        <family val="2"/>
      </rPr>
      <t xml:space="preserve">二手 </t>
    </r>
    <r>
      <rPr>
        <b val="true"/>
        <sz val="10"/>
        <rFont val="Arial"/>
        <family val="0"/>
        <charset val="1"/>
      </rPr>
      <t xml:space="preserve">e-bike </t>
    </r>
    <r>
      <rPr>
        <b val="true"/>
        <sz val="10"/>
        <rFont val="WenQuanYi Zen Hei"/>
        <family val="2"/>
      </rPr>
      <t xml:space="preserve">殘值（</t>
    </r>
    <r>
      <rPr>
        <b val="true"/>
        <sz val="10"/>
        <rFont val="Arial"/>
        <family val="0"/>
        <charset val="1"/>
      </rPr>
      <t xml:space="preserve">Upway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</si>
  <si>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WenQuanYi Zen Hei"/>
        <family val="2"/>
      </rPr>
      <t xml:space="preserve">折價</t>
    </r>
  </si>
  <si>
    <r>
      <rPr>
        <sz val="10"/>
        <color rgb="FF000000"/>
        <rFont val="WenQuanYi Zen Hei"/>
        <family val="2"/>
      </rPr>
      <t xml:space="preserve">第一年 −</t>
    </r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WenQuanYi Zen Hei"/>
        <family val="2"/>
      </rPr>
      <t xml:space="preserve">，之後每年 −</t>
    </r>
    <r>
      <rPr>
        <sz val="10"/>
        <color rgb="FF000000"/>
        <rFont val="Arial"/>
        <family val="0"/>
        <charset val="1"/>
      </rPr>
      <t xml:space="preserve">10–20%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Upway </t>
    </r>
    <r>
      <rPr>
        <sz val="10"/>
        <color rgb="FF000000"/>
        <rFont val="WenQuanYi Zen Hei"/>
        <family val="2"/>
      </rPr>
      <t xml:space="preserve">均價較新車低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Series C US$60M</t>
    </r>
    <r>
      <rPr>
        <sz val="10"/>
        <color rgb="FF000000"/>
        <rFont val="WenQuanYi Zen Hei"/>
        <family val="2"/>
      </rPr>
      <t xml:space="preserve">、銷量翻倍。</t>
    </r>
  </si>
  <si>
    <r>
      <rPr>
        <b val="true"/>
        <sz val="10"/>
        <rFont val="WenQuanYi Zen Hei"/>
        <family val="2"/>
      </rPr>
      <t xml:space="preserve">電池壽命（</t>
    </r>
    <r>
      <rPr>
        <b val="true"/>
        <sz val="10"/>
        <rFont val="Arial"/>
        <family val="0"/>
        <charset val="1"/>
      </rPr>
      <t xml:space="preserve">80% SoH</t>
    </r>
    <r>
      <rPr>
        <b val="true"/>
        <sz val="10"/>
        <rFont val="WenQuanYi Zen Hei"/>
        <family val="2"/>
      </rPr>
      <t xml:space="preserve">）</t>
    </r>
  </si>
  <si>
    <t xml:space="preserve">cycles</t>
  </si>
  <si>
    <r>
      <rPr>
        <sz val="10"/>
        <color rgb="FF000000"/>
        <rFont val="Arial"/>
        <family val="0"/>
        <charset val="1"/>
      </rPr>
      <t xml:space="preserve">Bosch smart system </t>
    </r>
    <r>
      <rPr>
        <sz val="10"/>
        <color rgb="FF000000"/>
        <rFont val="WenQuanYi Zen Hei"/>
        <family val="2"/>
      </rPr>
      <t xml:space="preserve">經銷商稱 </t>
    </r>
    <r>
      <rPr>
        <sz val="10"/>
        <color rgb="FF000000"/>
        <rFont val="Arial"/>
        <family val="0"/>
        <charset val="1"/>
      </rPr>
      <t xml:space="preserve">1,000 cycles </t>
    </r>
    <r>
      <rPr>
        <sz val="10"/>
        <color rgb="FF000000"/>
        <rFont val="WenQuanYi Zen Hei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ADAC </t>
    </r>
    <r>
      <rPr>
        <sz val="10"/>
        <color rgb="FF000000"/>
        <rFont val="WenQuanYi Zen Hei"/>
        <family val="2"/>
      </rPr>
      <t xml:space="preserve">測試 </t>
    </r>
    <r>
      <rPr>
        <sz val="10"/>
        <color rgb="FF000000"/>
        <rFont val="Arial"/>
        <family val="0"/>
        <charset val="1"/>
      </rPr>
      <t xml:space="preserve">1,515 cycles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WenQuanYi Zen Hei"/>
        <family val="2"/>
      </rPr>
      <t xml:space="preserve">；保固底線 </t>
    </r>
    <r>
      <rPr>
        <sz val="10"/>
        <color rgb="FF000000"/>
        <rFont val="Arial"/>
        <family val="0"/>
        <charset val="1"/>
      </rPr>
      <t xml:space="preserve">Fazua 500 cycles/60%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Shimano 1,000 cycles/60%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</si>
  <si>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EU </t>
    </r>
    <r>
      <rPr>
        <b val="true"/>
        <sz val="10"/>
        <rFont val="WenQuanYi Zen Hei"/>
        <family val="2"/>
      </rPr>
      <t xml:space="preserve">電池護照生效日</t>
    </r>
  </si>
  <si>
    <t xml:space="preserve">日期</t>
  </si>
  <si>
    <r>
      <rPr>
        <sz val="10"/>
        <color rgb="FF000000"/>
        <rFont val="Arial"/>
        <family val="0"/>
        <charset val="1"/>
      </rPr>
      <t xml:space="preserve">EU 2023/1542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2027/2/18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LMT</t>
    </r>
    <r>
      <rPr>
        <sz val="10"/>
        <color rgb="FF000000"/>
        <rFont val="WenQuanYi Zen Hei"/>
        <family val="2"/>
      </rPr>
      <t xml:space="preserve">（≤</t>
    </r>
    <r>
      <rPr>
        <sz val="10"/>
        <color rgb="FF000000"/>
        <rFont val="Arial"/>
        <family val="0"/>
        <charset val="1"/>
      </rPr>
      <t xml:space="preserve">25kg</t>
    </r>
    <r>
      <rPr>
        <sz val="10"/>
        <color rgb="FF000000"/>
        <rFont val="WenQuanYi Zen Hei"/>
        <family val="2"/>
      </rPr>
      <t xml:space="preserve">）電池須數位護照、可由專業人員更換；</t>
    </r>
    <r>
      <rPr>
        <sz val="10"/>
        <color rgb="FF000000"/>
        <rFont val="Arial"/>
        <family val="0"/>
        <charset val="1"/>
      </rPr>
      <t xml:space="preserve">QR </t>
    </r>
    <r>
      <rPr>
        <sz val="10"/>
        <color rgb="FF000000"/>
        <rFont val="WenQuanYi Zen Hei"/>
        <family val="2"/>
      </rPr>
      <t xml:space="preserve">碼三層存取。</t>
    </r>
  </si>
  <si>
    <r>
      <rPr>
        <b val="true"/>
        <sz val="10"/>
        <rFont val="Arial"/>
        <family val="0"/>
        <charset val="1"/>
      </rPr>
      <t xml:space="preserve">EU </t>
    </r>
    <r>
      <rPr>
        <b val="true"/>
        <sz val="10"/>
        <rFont val="WenQuanYi Zen Hei"/>
        <family val="2"/>
      </rPr>
      <t xml:space="preserve">對中國整車 </t>
    </r>
    <r>
      <rPr>
        <b val="true"/>
        <sz val="10"/>
        <rFont val="Arial"/>
        <family val="0"/>
        <charset val="1"/>
      </rPr>
      <t xml:space="preserve">AD+CVD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</si>
  <si>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</si>
  <si>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AD 10.3–70.1% + CVD 3.9–17.2%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2025/1/25 </t>
    </r>
    <r>
      <rPr>
        <sz val="10"/>
        <color rgb="FF000000"/>
        <rFont val="WenQuanYi Zen Hei"/>
        <family val="2"/>
      </rPr>
      <t xml:space="preserve">起延長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年；中國馬達（</t>
    </r>
    <r>
      <rPr>
        <sz val="10"/>
        <color rgb="FF000000"/>
        <rFont val="Arial"/>
        <family val="0"/>
        <charset val="1"/>
      </rPr>
      <t xml:space="preserve">8501</t>
    </r>
    <r>
      <rPr>
        <sz val="10"/>
        <color rgb="FF000000"/>
        <rFont val="WenQuanYi Zen Hei"/>
        <family val="2"/>
      </rPr>
      <t xml:space="preserve">）與鋰電池包（</t>
    </r>
    <r>
      <rPr>
        <sz val="10"/>
        <color rgb="FF000000"/>
        <rFont val="Arial"/>
        <family val="0"/>
        <charset val="1"/>
      </rPr>
      <t xml:space="preserve">8507.60</t>
    </r>
    <r>
      <rPr>
        <sz val="10"/>
        <color rgb="FF000000"/>
        <rFont val="WenQuanYi Zen Hei"/>
        <family val="2"/>
      </rPr>
      <t xml:space="preserve">）不在範圍，</t>
    </r>
    <r>
      <rPr>
        <sz val="10"/>
        <color rgb="FF000000"/>
        <rFont val="Arial"/>
        <family val="0"/>
        <charset val="1"/>
      </rPr>
      <t xml:space="preserve">MFN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1.8–2.7%</t>
    </r>
    <r>
      <rPr>
        <sz val="10"/>
        <color rgb="FF000000"/>
        <rFont val="WenQuanYi Zen Hei"/>
        <family val="2"/>
      </rPr>
      <t xml:space="preserve">；自行車零件反規避（</t>
    </r>
    <r>
      <rPr>
        <sz val="10"/>
        <color rgb="FF000000"/>
        <rFont val="Arial"/>
        <family val="0"/>
        <charset val="1"/>
      </rPr>
      <t xml:space="preserve">60% </t>
    </r>
    <r>
      <rPr>
        <sz val="10"/>
        <color rgb="FF000000"/>
        <rFont val="WenQuanYi Zen Hei"/>
        <family val="2"/>
      </rPr>
      <t xml:space="preserve">中國零件值）</t>
    </r>
    <r>
      <rPr>
        <sz val="10"/>
        <color rgb="FF000000"/>
        <rFont val="Arial"/>
        <family val="0"/>
        <charset val="1"/>
      </rPr>
      <t xml:space="preserve">2025/10 </t>
    </r>
    <r>
      <rPr>
        <sz val="10"/>
        <color rgb="FF000000"/>
        <rFont val="WenQuanYi Zen Hei"/>
        <family val="2"/>
      </rPr>
      <t xml:space="preserve">延長。</t>
    </r>
  </si>
  <si>
    <r>
      <rPr>
        <b val="true"/>
        <sz val="10"/>
        <rFont val="WenQuanYi Zen Hei"/>
        <family val="2"/>
      </rPr>
      <t xml:space="preserve">美國 </t>
    </r>
    <r>
      <rPr>
        <b val="true"/>
        <sz val="10"/>
        <rFont val="Arial"/>
        <family val="0"/>
        <charset val="1"/>
      </rPr>
      <t xml:space="preserve">301 </t>
    </r>
    <r>
      <rPr>
        <b val="true"/>
        <sz val="10"/>
        <rFont val="WenQuanYi Zen Hei"/>
        <family val="2"/>
      </rPr>
      <t xml:space="preserve">關稅：中國非車用鋰電池</t>
    </r>
  </si>
  <si>
    <r>
      <rPr>
        <sz val="10"/>
        <color rgb="FF000000"/>
        <rFont val="Arial"/>
        <family val="0"/>
        <charset val="1"/>
      </rPr>
      <t xml:space="preserve">2026/1/1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7.5%→25%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+MFN 3.4%</t>
    </r>
    <r>
      <rPr>
        <sz val="10"/>
        <color rgb="FF000000"/>
        <rFont val="WenQuanYi Zen Hei"/>
        <family val="2"/>
      </rPr>
      <t xml:space="preserve">）；中國馬達 </t>
    </r>
    <r>
      <rPr>
        <sz val="10"/>
        <color rgb="FF000000"/>
        <rFont val="Arial"/>
        <family val="0"/>
        <charset val="1"/>
      </rPr>
      <t xml:space="preserve">25%</t>
    </r>
    <r>
      <rPr>
        <sz val="10"/>
        <color rgb="FF000000"/>
        <rFont val="WenQuanYi Zen Hei"/>
        <family val="2"/>
      </rPr>
      <t xml:space="preserve">；中國整車 </t>
    </r>
    <r>
      <rPr>
        <sz val="10"/>
        <color rgb="FF000000"/>
        <rFont val="Arial"/>
        <family val="0"/>
        <charset val="1"/>
      </rPr>
      <t xml:space="preserve">2026/7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25% §301 + 10% §122</t>
    </r>
    <r>
      <rPr>
        <sz val="10"/>
        <color rgb="FF000000"/>
        <rFont val="WenQuanYi Zen Hei"/>
        <family val="2"/>
      </rPr>
      <t xml:space="preserve">）；台灣 </t>
    </r>
    <r>
      <rPr>
        <sz val="10"/>
        <color rgb="FF000000"/>
        <rFont val="Arial"/>
        <family val="0"/>
        <charset val="1"/>
      </rPr>
      <t xml:space="preserve">15% all-in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2026/2 </t>
    </r>
    <r>
      <rPr>
        <sz val="10"/>
        <color rgb="FF000000"/>
        <rFont val="WenQuanYi Zen Hei"/>
        <family val="2"/>
      </rPr>
      <t xml:space="preserve">美台協議）；越南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</si>
  <si>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4"/>
        <rFont val="WenQuanYi Zen Hei"/>
        <family val="2"/>
      </rPr>
      <t xml:space="preserve">三電系統 </t>
    </r>
    <r>
      <rPr>
        <b val="true"/>
        <sz val="14"/>
        <rFont val="Arial"/>
        <family val="0"/>
        <charset val="1"/>
      </rPr>
      <t xml:space="preserve">BOM </t>
    </r>
    <r>
      <rPr>
        <b val="true"/>
        <sz val="14"/>
        <rFont val="WenQuanYi Zen Hei"/>
        <family val="2"/>
      </rPr>
      <t xml:space="preserve">成本結構｜三種產品架構（</t>
    </r>
    <r>
      <rPr>
        <b val="true"/>
        <sz val="14"/>
        <rFont val="Arial"/>
        <family val="0"/>
        <charset val="1"/>
      </rPr>
      <t xml:space="preserve">NT$/</t>
    </r>
    <r>
      <rPr>
        <b val="true"/>
        <sz val="14"/>
        <rFont val="WenQuanYi Zen Hei"/>
        <family val="2"/>
      </rPr>
      <t xml:space="preserve">套，年產 </t>
    </r>
    <r>
      <rPr>
        <b val="true"/>
        <sz val="14"/>
        <rFont val="Arial"/>
        <family val="0"/>
        <charset val="1"/>
      </rPr>
      <t xml:space="preserve">10,000 </t>
    </r>
    <r>
      <rPr>
        <b val="true"/>
        <sz val="14"/>
        <rFont val="WenQuanYi Zen Hei"/>
        <family val="2"/>
      </rPr>
      <t xml:space="preserve">套）</t>
    </r>
  </si>
  <si>
    <r>
      <rPr>
        <i val="true"/>
        <sz val="9"/>
        <rFont val="Arial"/>
        <family val="0"/>
        <charset val="1"/>
      </rPr>
      <t xml:space="preserve">A</t>
    </r>
    <r>
      <rPr>
        <i val="true"/>
        <sz val="9"/>
        <rFont val="WenQuanYi Zen Hei"/>
        <family val="2"/>
      </rPr>
      <t xml:space="preserve">＝都會</t>
    </r>
    <r>
      <rPr>
        <i val="true"/>
        <sz val="9"/>
        <rFont val="Arial"/>
        <family val="0"/>
        <charset val="1"/>
      </rPr>
      <t xml:space="preserve">/</t>
    </r>
    <r>
      <rPr>
        <i val="true"/>
        <sz val="9"/>
        <rFont val="WenQuanYi Zen Hei"/>
        <family val="2"/>
      </rPr>
      <t xml:space="preserve">媽媽車 輪轂系統（外購馬達）；</t>
    </r>
    <r>
      <rPr>
        <i val="true"/>
        <sz val="9"/>
        <rFont val="Arial"/>
        <family val="0"/>
        <charset val="1"/>
      </rPr>
      <t xml:space="preserve">B</t>
    </r>
    <r>
      <rPr>
        <i val="true"/>
        <sz val="9"/>
        <rFont val="WenQuanYi Zen Hei"/>
        <family val="2"/>
      </rPr>
      <t xml:space="preserve">＝自研中置系統 </t>
    </r>
    <r>
      <rPr>
        <i val="true"/>
        <sz val="9"/>
        <rFont val="Arial"/>
        <family val="0"/>
        <charset val="1"/>
      </rPr>
      <t xml:space="preserve">Cargo/e-MTB</t>
    </r>
    <r>
      <rPr>
        <i val="true"/>
        <sz val="9"/>
        <rFont val="WenQuanYi Zen Hei"/>
        <family val="2"/>
      </rPr>
      <t xml:space="preserve">（馬達自製、電池達宇</t>
    </r>
    <r>
      <rPr>
        <i val="true"/>
        <sz val="9"/>
        <rFont val="Arial"/>
        <family val="0"/>
        <charset val="1"/>
      </rPr>
      <t xml:space="preserve">/</t>
    </r>
    <r>
      <rPr>
        <i val="true"/>
        <sz val="9"/>
        <rFont val="WenQuanYi Zen Hei"/>
        <family val="2"/>
      </rPr>
      <t xml:space="preserve">自製）；</t>
    </r>
    <r>
      <rPr>
        <i val="true"/>
        <sz val="9"/>
        <rFont val="Arial"/>
        <family val="0"/>
        <charset val="1"/>
      </rPr>
      <t xml:space="preserve">C</t>
    </r>
    <r>
      <rPr>
        <i val="true"/>
        <sz val="9"/>
        <rFont val="WenQuanYi Zen Hei"/>
        <family val="2"/>
      </rPr>
      <t xml:space="preserve">＝外購高階系統（</t>
    </r>
    <r>
      <rPr>
        <i val="true"/>
        <sz val="9"/>
        <rFont val="Arial"/>
        <family val="0"/>
        <charset val="1"/>
      </rPr>
      <t xml:space="preserve">Bosch CX </t>
    </r>
    <r>
      <rPr>
        <i val="true"/>
        <sz val="9"/>
        <rFont val="WenQuanYi Zen Hei"/>
        <family val="2"/>
      </rPr>
      <t xml:space="preserve">等級，</t>
    </r>
    <r>
      <rPr>
        <i val="true"/>
        <sz val="9"/>
        <rFont val="Arial"/>
        <family val="0"/>
        <charset val="1"/>
      </rPr>
      <t xml:space="preserve">OEM </t>
    </r>
    <r>
      <rPr>
        <i val="true"/>
        <sz val="9"/>
        <rFont val="WenQuanYi Zen Hei"/>
        <family val="2"/>
      </rPr>
      <t xml:space="preserve">估價）。</t>
    </r>
  </si>
  <si>
    <r>
      <rPr>
        <b val="true"/>
        <sz val="11"/>
        <color rgb="FFFFFFFF"/>
        <rFont val="Arial"/>
        <family val="0"/>
        <charset val="1"/>
      </rPr>
      <t xml:space="preserve">BOM </t>
    </r>
    <r>
      <rPr>
        <b val="true"/>
        <sz val="11"/>
        <color rgb="FFFFFFFF"/>
        <rFont val="WenQuanYi Zen Hei"/>
        <family val="2"/>
      </rPr>
      <t xml:space="preserve">項目</t>
    </r>
  </si>
  <si>
    <r>
      <rPr>
        <b val="true"/>
        <sz val="11"/>
        <color rgb="FFFFFFFF"/>
        <rFont val="Arial"/>
        <family val="0"/>
        <charset val="1"/>
      </rPr>
      <t xml:space="preserve">B </t>
    </r>
    <r>
      <rPr>
        <b val="true"/>
        <sz val="11"/>
        <color rgb="FFFFFFFF"/>
        <rFont val="WenQuanYi Zen Hei"/>
        <family val="2"/>
      </rPr>
      <t xml:space="preserve">佔比</t>
    </r>
  </si>
  <si>
    <r>
      <rPr>
        <b val="true"/>
        <sz val="11"/>
        <color rgb="FFFFFFFF"/>
        <rFont val="WenQuanYi Zen Hei"/>
        <family val="2"/>
      </rPr>
      <t xml:space="preserve">依據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WenQuanYi Zen Hei"/>
        <family val="2"/>
      </rPr>
      <t xml:space="preserve">假設</t>
    </r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</si>
  <si>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馬達（含減速機構）</t>
    </r>
  </si>
  <si>
    <r>
      <rPr>
        <sz val="10"/>
        <color rgb="FF000000"/>
        <rFont val="WenQuanYi Zen Hei"/>
        <family val="2"/>
      </rPr>
      <t xml:space="preserve">　釹鐵硼永磁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轉子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</si>
  <si>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：自製 </t>
    </r>
    <r>
      <rPr>
        <sz val="10"/>
        <color rgb="FF000000"/>
        <rFont val="Arial"/>
        <family val="0"/>
        <charset val="1"/>
      </rPr>
      <t xml:space="preserve">PMSM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NdFeB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0.25kg</t>
    </r>
    <r>
      <rPr>
        <sz val="10"/>
        <color rgb="FF000000"/>
        <rFont val="WenQuanYi Zen Hei"/>
        <family val="2"/>
      </rPr>
      <t xml:space="preserve">，磁材價依外部基準</t>
    </r>
  </si>
  <si>
    <r>
      <rPr>
        <sz val="10"/>
        <color rgb="FF000000"/>
        <rFont val="WenQuanYi Zen Hei"/>
        <family val="2"/>
      </rPr>
      <t xml:space="preserve">　定子矽鋼片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銅線繞組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</si>
  <si>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250W </t>
    </r>
    <r>
      <rPr>
        <sz val="10"/>
        <color rgb="FF000000"/>
        <rFont val="WenQuanYi Zen Hei"/>
        <family val="2"/>
      </rPr>
      <t xml:space="preserve">連續／峰值 </t>
    </r>
    <r>
      <rPr>
        <sz val="10"/>
        <color rgb="FF000000"/>
        <rFont val="Arial"/>
        <family val="0"/>
        <charset val="1"/>
      </rPr>
      <t xml:space="preserve">600–750W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85–90Nm</t>
    </r>
  </si>
  <si>
    <r>
      <rPr>
        <sz val="10"/>
        <color rgb="FF000000"/>
        <rFont val="WenQuanYi Zen Hei"/>
        <family val="2"/>
      </rPr>
      <t xml:space="preserve">　減速齒輪組（行星／二級）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軸承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離合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</si>
  <si>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：高扭矩塑鋼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鋼齒輪，離合單向軸承</t>
    </r>
  </si>
  <si>
    <r>
      <rPr>
        <sz val="10"/>
        <color rgb="FF000000"/>
        <rFont val="WenQuanYi Zen Hei"/>
        <family val="2"/>
      </rPr>
      <t xml:space="preserve">　鋁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鎂壓鑄外殼 </t>
    </r>
    <r>
      <rPr>
        <sz val="10"/>
        <color rgb="FF000000"/>
        <rFont val="Arial"/>
        <family val="0"/>
        <charset val="1"/>
      </rPr>
      <t xml:space="preserve">+ CNC + </t>
    </r>
    <r>
      <rPr>
        <sz val="10"/>
        <color rgb="FF000000"/>
        <rFont val="WenQuanYi Zen Hei"/>
        <family val="2"/>
      </rPr>
      <t xml:space="preserve">塗裝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</si>
  <si>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：模具另列於認證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模具攤提</t>
    </r>
  </si>
  <si>
    <t xml:space="preserve">　整合扭力感測器（中軸式）</t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</si>
  <si>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：整合式；外購 </t>
    </r>
    <r>
      <rPr>
        <sz val="10"/>
        <color rgb="FF000000"/>
        <rFont val="Arial"/>
        <family val="0"/>
        <charset val="1"/>
      </rPr>
      <t xml:space="preserve">Thun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NT$4,576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NT$2,270</t>
    </r>
    <r>
      <rPr>
        <sz val="10"/>
        <color rgb="FF000000"/>
        <rFont val="WenQuanYi Zen Hei"/>
        <family val="2"/>
      </rPr>
      <t xml:space="preserve">（內部錨點）</t>
    </r>
  </si>
  <si>
    <r>
      <rPr>
        <sz val="10"/>
        <color rgb="FF000000"/>
        <rFont val="WenQuanYi Zen Hei"/>
        <family val="2"/>
      </rPr>
      <t xml:space="preserve">　驅動板（</t>
    </r>
    <r>
      <rPr>
        <sz val="10"/>
        <color rgb="FF000000"/>
        <rFont val="Arial"/>
        <family val="0"/>
        <charset val="1"/>
      </rPr>
      <t xml:space="preserve">MCU + </t>
    </r>
    <r>
      <rPr>
        <sz val="10"/>
        <color rgb="FF000000"/>
        <rFont val="WenQuanYi Zen Hei"/>
        <family val="2"/>
      </rPr>
      <t xml:space="preserve">三相 </t>
    </r>
    <r>
      <rPr>
        <sz val="10"/>
        <color rgb="FF000000"/>
        <rFont val="Arial"/>
        <family val="0"/>
        <charset val="1"/>
      </rPr>
      <t xml:space="preserve">MOSFET + </t>
    </r>
    <r>
      <rPr>
        <sz val="10"/>
        <color rgb="FF000000"/>
        <rFont val="WenQuanYi Zen Hei"/>
        <family val="2"/>
      </rPr>
      <t xml:space="preserve">閘極驅動 </t>
    </r>
    <r>
      <rPr>
        <sz val="10"/>
        <color rgb="FF000000"/>
        <rFont val="Arial"/>
        <family val="0"/>
        <charset val="1"/>
      </rPr>
      <t xml:space="preserve">+ CAN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</si>
  <si>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：整合於馬達殼內，取代分離式控制器；達方 </t>
    </r>
    <r>
      <rPr>
        <sz val="10"/>
        <color rgb="FF000000"/>
        <rFont val="Arial"/>
        <family val="0"/>
        <charset val="1"/>
      </rPr>
      <t xml:space="preserve">controller cartridge </t>
    </r>
    <r>
      <rPr>
        <sz val="10"/>
        <color rgb="FF000000"/>
        <rFont val="WenQuanYi Zen Hei"/>
        <family val="2"/>
      </rPr>
      <t xml:space="preserve">錨點 </t>
    </r>
    <r>
      <rPr>
        <sz val="10"/>
        <color rgb="FF000000"/>
        <rFont val="Arial"/>
        <family val="0"/>
        <charset val="1"/>
      </rPr>
      <t xml:space="preserve">NT$1,126–2,577</t>
    </r>
  </si>
  <si>
    <t xml:space="preserve">　組裝、測試、密封、配件</t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</si>
  <si>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：蘇州輕組裝；含 </t>
    </r>
    <r>
      <rPr>
        <sz val="10"/>
        <color rgb="FF000000"/>
        <rFont val="Arial"/>
        <family val="0"/>
        <charset val="1"/>
      </rPr>
      <t xml:space="preserve">IP65 </t>
    </r>
    <r>
      <rPr>
        <sz val="10"/>
        <color rgb="FF000000"/>
        <rFont val="WenQuanYi Zen Hei"/>
        <family val="2"/>
      </rPr>
      <t xml:space="preserve">測試</t>
    </r>
  </si>
  <si>
    <t xml:space="preserve">馬達小計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</si>
  <si>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AKM </t>
    </r>
    <r>
      <rPr>
        <sz val="10"/>
        <color rgb="FF000000"/>
        <rFont val="WenQuanYi Zen Hei"/>
        <family val="2"/>
      </rPr>
      <t xml:space="preserve">後輪轂錨點 </t>
    </r>
    <r>
      <rPr>
        <sz val="10"/>
        <color rgb="FF000000"/>
        <rFont val="Arial"/>
        <family val="0"/>
        <charset val="1"/>
      </rPr>
      <t xml:space="preserve">NT$2,807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Bosch CX OEM </t>
    </r>
    <r>
      <rPr>
        <sz val="10"/>
        <color rgb="FF000000"/>
        <rFont val="WenQuanYi Zen Hei"/>
        <family val="2"/>
      </rPr>
      <t xml:space="preserve">估價（零售價 </t>
    </r>
    <r>
      <rPr>
        <sz val="10"/>
        <color rgb="FF000000"/>
        <rFont val="Arial"/>
        <family val="0"/>
        <charset val="1"/>
      </rPr>
      <t xml:space="preserve">× OEM </t>
    </r>
    <r>
      <rPr>
        <sz val="10"/>
        <color rgb="FF000000"/>
        <rFont val="WenQuanYi Zen Hei"/>
        <family val="2"/>
      </rPr>
      <t xml:space="preserve">折扣）</t>
    </r>
  </si>
  <si>
    <r>
      <rPr>
        <sz val="10"/>
        <color rgb="FF000000"/>
        <rFont val="WenQuanYi Zen Hei"/>
        <family val="2"/>
      </rPr>
      <t xml:space="preserve">　　對照：</t>
    </r>
    <r>
      <rPr>
        <sz val="10"/>
        <color rgb="FF000000"/>
        <rFont val="Arial"/>
        <family val="0"/>
        <charset val="1"/>
      </rPr>
      <t xml:space="preserve">Bafang MAX Drive </t>
    </r>
    <r>
      <rPr>
        <sz val="10"/>
        <color rgb="FF000000"/>
        <rFont val="WenQuanYi Zen Hei"/>
        <family val="2"/>
      </rPr>
      <t xml:space="preserve">外購價（內部錨點）</t>
    </r>
  </si>
  <si>
    <r>
      <rPr>
        <sz val="10"/>
        <color rgb="FF000000"/>
        <rFont val="WenQuanYi Zen Hei"/>
        <family val="2"/>
      </rPr>
      <t xml:space="preserve">自製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外購差額 </t>
    </r>
    <r>
      <rPr>
        <sz val="10"/>
        <color rgb="FF000000"/>
        <rFont val="Arial"/>
        <family val="0"/>
        <charset val="1"/>
      </rPr>
      <t xml:space="preserve">= B </t>
    </r>
    <r>
      <rPr>
        <sz val="10"/>
        <color rgb="FF000000"/>
        <rFont val="WenQuanYi Zen Hei"/>
        <family val="2"/>
      </rPr>
      <t xml:space="preserve">自製節省空間</t>
    </r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</si>
  <si>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WenQuanYi Zen Hei"/>
        <family val="2"/>
      </rPr>
      <t xml:space="preserve">電池組</t>
    </r>
  </si>
  <si>
    <r>
      <rPr>
        <sz val="10"/>
        <color rgb="FF000000"/>
        <rFont val="WenQuanYi Zen Hei"/>
        <family val="2"/>
      </rPr>
      <t xml:space="preserve">　電池容量 </t>
    </r>
    <r>
      <rPr>
        <sz val="10"/>
        <color rgb="FF000000"/>
        <rFont val="Arial"/>
        <family val="0"/>
        <charset val="1"/>
      </rPr>
      <t xml:space="preserve">(Wh)</t>
    </r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</si>
  <si>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36V 13.9Ah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Darfon 720Wh </t>
    </r>
    <r>
      <rPr>
        <sz val="10"/>
        <color rgb="FF000000"/>
        <rFont val="WenQuanYi Zen Hei"/>
        <family val="2"/>
      </rPr>
      <t xml:space="preserve">錨點；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Bosch PowerTube 800</t>
    </r>
  </si>
  <si>
    <r>
      <rPr>
        <sz val="10"/>
        <color rgb="FF000000"/>
        <rFont val="WenQuanYi Zen Hei"/>
        <family val="2"/>
      </rPr>
      <t xml:space="preserve">　電芯（</t>
    </r>
    <r>
      <rPr>
        <sz val="10"/>
        <color rgb="FF000000"/>
        <rFont val="Arial"/>
        <family val="0"/>
        <charset val="1"/>
      </rPr>
      <t xml:space="preserve">21700</t>
    </r>
    <r>
      <rPr>
        <sz val="10"/>
        <color rgb="FF000000"/>
        <rFont val="WenQuanYi Zen Hei"/>
        <family val="2"/>
      </rPr>
      <t xml:space="preserve">，依假設表選擇來源）</t>
    </r>
  </si>
  <si>
    <r>
      <rPr>
        <sz val="10"/>
        <color rgb="FF000000"/>
        <rFont val="WenQuanYi Zen Hei"/>
        <family val="2"/>
      </rPr>
      <t xml:space="preserve">電芯 </t>
    </r>
    <r>
      <rPr>
        <sz val="10"/>
        <color rgb="FF000000"/>
        <rFont val="Arial"/>
        <family val="0"/>
        <charset val="1"/>
      </rPr>
      <t xml:space="preserve">NT$/Wh × </t>
    </r>
    <r>
      <rPr>
        <sz val="10"/>
        <color rgb="FF000000"/>
        <rFont val="WenQuanYi Zen Hei"/>
        <family val="2"/>
      </rPr>
      <t xml:space="preserve">容量；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直接用外購整包價</t>
    </r>
  </si>
  <si>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BMS</t>
    </r>
    <r>
      <rPr>
        <sz val="10"/>
        <color rgb="FF000000"/>
        <rFont val="WenQuanYi Zen Hei"/>
        <family val="2"/>
      </rPr>
      <t xml:space="preserve">（含均衡、</t>
    </r>
    <r>
      <rPr>
        <sz val="10"/>
        <color rgb="FF000000"/>
        <rFont val="Arial"/>
        <family val="0"/>
        <charset val="1"/>
      </rPr>
      <t xml:space="preserve">CAN</t>
    </r>
    <r>
      <rPr>
        <sz val="10"/>
        <color rgb="FF000000"/>
        <rFont val="WenQuanYi Zen Hei"/>
        <family val="2"/>
      </rPr>
      <t xml:space="preserve">、防盜鎖定）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</si>
  <si>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CAN </t>
    </r>
    <r>
      <rPr>
        <sz val="10"/>
        <color rgb="FF000000"/>
        <rFont val="WenQuanYi Zen Hei"/>
        <family val="2"/>
      </rPr>
      <t xml:space="preserve">通訊與 </t>
    </r>
    <r>
      <rPr>
        <sz val="10"/>
        <color rgb="FF000000"/>
        <rFont val="Arial"/>
        <family val="0"/>
        <charset val="1"/>
      </rPr>
      <t xml:space="preserve">SoH </t>
    </r>
    <r>
      <rPr>
        <sz val="10"/>
        <color rgb="FF000000"/>
        <rFont val="WenQuanYi Zen Hei"/>
        <family val="2"/>
      </rPr>
      <t xml:space="preserve">回報，訂閱制電池必備</t>
    </r>
  </si>
  <si>
    <t xml:space="preserve">　外殼、滑軌、連接器、鎖具、線材</t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</si>
  <si>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downtube </t>
    </r>
    <r>
      <rPr>
        <sz val="10"/>
        <color rgb="FF000000"/>
        <rFont val="WenQuanYi Zen Hei"/>
        <family val="2"/>
      </rPr>
      <t xml:space="preserve">內置可拆式；</t>
    </r>
    <r>
      <rPr>
        <sz val="10"/>
        <color rgb="FF000000"/>
        <rFont val="Arial"/>
        <family val="0"/>
        <charset val="1"/>
      </rPr>
      <t xml:space="preserve">EU </t>
    </r>
    <r>
      <rPr>
        <sz val="10"/>
        <color rgb="FF000000"/>
        <rFont val="WenQuanYi Zen Hei"/>
        <family val="2"/>
      </rPr>
      <t xml:space="preserve">電池法規要求可移除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可更換</t>
    </r>
  </si>
  <si>
    <r>
      <rPr>
        <sz val="10"/>
        <color rgb="FF000000"/>
        <rFont val="WenQuanYi Zen Hei"/>
        <family val="2"/>
      </rPr>
      <t xml:space="preserve">　組裝、測試（</t>
    </r>
    <r>
      <rPr>
        <sz val="10"/>
        <color rgb="FF000000"/>
        <rFont val="Arial"/>
        <family val="0"/>
        <charset val="1"/>
      </rPr>
      <t xml:space="preserve">UN38.3 </t>
    </r>
    <r>
      <rPr>
        <sz val="10"/>
        <color rgb="FF000000"/>
        <rFont val="WenQuanYi Zen Hei"/>
        <family val="2"/>
      </rPr>
      <t xml:space="preserve">抽測）、包裝</t>
    </r>
  </si>
  <si>
    <t xml:space="preserve">電池小計</t>
  </si>
  <si>
    <r>
      <rPr>
        <sz val="10"/>
        <color rgb="FF000000"/>
        <rFont val="WenQuanYi Zen Hei"/>
        <family val="2"/>
      </rPr>
      <t xml:space="preserve">驗證：</t>
    </r>
    <r>
      <rPr>
        <sz val="10"/>
        <color rgb="FF000000"/>
        <rFont val="Arial"/>
        <family val="0"/>
        <charset val="1"/>
      </rPr>
      <t xml:space="preserve">Darfon 720Wh </t>
    </r>
    <r>
      <rPr>
        <sz val="10"/>
        <color rgb="FF000000"/>
        <rFont val="WenQuanYi Zen Hei"/>
        <family val="2"/>
      </rPr>
      <t xml:space="preserve">內部錨點 </t>
    </r>
    <r>
      <rPr>
        <sz val="10"/>
        <color rgb="FF000000"/>
        <rFont val="Arial"/>
        <family val="0"/>
        <charset val="1"/>
      </rPr>
      <t xml:space="preserve">NT$7,428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E4C0E </t>
    </r>
    <r>
      <rPr>
        <sz val="10"/>
        <color rgb="FF000000"/>
        <rFont val="WenQuanYi Zen Hei"/>
        <family val="2"/>
      </rPr>
      <t xml:space="preserve">主力電池 </t>
    </r>
    <r>
      <rPr>
        <sz val="10"/>
        <color rgb="FF000000"/>
        <rFont val="Arial"/>
        <family val="0"/>
        <charset val="1"/>
      </rPr>
      <t xml:space="preserve">NT$4,951</t>
    </r>
  </si>
  <si>
    <r>
      <rPr>
        <sz val="10"/>
        <color rgb="FF000000"/>
        <rFont val="WenQuanYi Zen Hei"/>
        <family val="2"/>
      </rPr>
      <t xml:space="preserve">　　對照：</t>
    </r>
    <r>
      <rPr>
        <sz val="10"/>
        <color rgb="FF000000"/>
        <rFont val="Arial"/>
        <family val="0"/>
        <charset val="1"/>
      </rPr>
      <t xml:space="preserve">Darfon 720Wh / E4C0E </t>
    </r>
    <r>
      <rPr>
        <sz val="10"/>
        <color rgb="FF000000"/>
        <rFont val="WenQuanYi Zen Hei"/>
        <family val="2"/>
      </rPr>
      <t xml:space="preserve">內部錨點</t>
    </r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</si>
  <si>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欄對照為 </t>
    </r>
    <r>
      <rPr>
        <sz val="10"/>
        <color rgb="FF000000"/>
        <rFont val="Arial"/>
        <family val="0"/>
        <charset val="1"/>
      </rPr>
      <t xml:space="preserve">Shimano 504Wh </t>
    </r>
    <r>
      <rPr>
        <sz val="10"/>
        <color rgb="FF000000"/>
        <rFont val="WenQuanYi Zen Hei"/>
        <family val="2"/>
      </rPr>
      <t xml:space="preserve">外購價（僅 </t>
    </r>
    <r>
      <rPr>
        <sz val="10"/>
        <color rgb="FF000000"/>
        <rFont val="Arial"/>
        <family val="0"/>
        <charset val="1"/>
      </rPr>
      <t xml:space="preserve">504Wh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</si>
  <si>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3. </t>
    </r>
    <r>
      <rPr>
        <b val="true"/>
        <sz val="10"/>
        <rFont val="WenQuanYi Zen Hei"/>
        <family val="2"/>
      </rPr>
      <t xml:space="preserve">電控、</t>
    </r>
    <r>
      <rPr>
        <b val="true"/>
        <sz val="10"/>
        <rFont val="Arial"/>
        <family val="0"/>
        <charset val="1"/>
      </rPr>
      <t xml:space="preserve">HMI</t>
    </r>
    <r>
      <rPr>
        <b val="true"/>
        <sz val="10"/>
        <rFont val="WenQuanYi Zen Hei"/>
        <family val="2"/>
      </rPr>
      <t xml:space="preserve">、感測與連網</t>
    </r>
  </si>
  <si>
    <t xml:space="preserve">　分離式控制器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</si>
  <si>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YTMT02 </t>
    </r>
    <r>
      <rPr>
        <sz val="10"/>
        <color rgb="FF000000"/>
        <rFont val="WenQuanYi Zen Hei"/>
        <family val="2"/>
      </rPr>
      <t xml:space="preserve">錨點；</t>
    </r>
    <r>
      <rPr>
        <sz val="10"/>
        <color rgb="FF000000"/>
        <rFont val="Arial"/>
        <family val="0"/>
        <charset val="1"/>
      </rPr>
      <t xml:space="preserve">B/C </t>
    </r>
    <r>
      <rPr>
        <sz val="10"/>
        <color rgb="FF000000"/>
        <rFont val="WenQuanYi Zen Hei"/>
        <family val="2"/>
      </rPr>
      <t xml:space="preserve">已整合於驅動單元</t>
    </r>
  </si>
  <si>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HMI </t>
    </r>
    <r>
      <rPr>
        <sz val="10"/>
        <color rgb="FF000000"/>
        <rFont val="WenQuanYi Zen Hei"/>
        <family val="2"/>
      </rPr>
      <t xml:space="preserve">顯示器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把手遙控</t>
    </r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</si>
  <si>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LCM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TFT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Kiox 300 + LED remote</t>
    </r>
  </si>
  <si>
    <t xml:space="preserve">　扭力感測器（分離式）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</si>
  <si>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：中軸式；</t>
    </r>
    <r>
      <rPr>
        <sz val="10"/>
        <color rgb="FF000000"/>
        <rFont val="Arial"/>
        <family val="0"/>
        <charset val="1"/>
      </rPr>
      <t xml:space="preserve">B/C </t>
    </r>
    <r>
      <rPr>
        <sz val="10"/>
        <color rgb="FF000000"/>
        <rFont val="WenQuanYi Zen Hei"/>
        <family val="2"/>
      </rPr>
      <t xml:space="preserve">已整合</t>
    </r>
  </si>
  <si>
    <r>
      <rPr>
        <sz val="10"/>
        <color rgb="FF000000"/>
        <rFont val="WenQuanYi Zen Hei"/>
        <family val="2"/>
      </rPr>
      <t xml:space="preserve">　速度感測器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煞車感測 </t>
    </r>
    <r>
      <rPr>
        <sz val="10"/>
        <color rgb="FF000000"/>
        <rFont val="Arial"/>
        <family val="0"/>
        <charset val="1"/>
      </rPr>
      <t xml:space="preserve">×2</t>
    </r>
  </si>
  <si>
    <t xml:space="preserve">內部錨點</t>
  </si>
  <si>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IoT </t>
    </r>
    <r>
      <rPr>
        <sz val="10"/>
        <color rgb="FF000000"/>
        <rFont val="WenQuanYi Zen Hei"/>
        <family val="2"/>
      </rPr>
      <t xml:space="preserve">連網模組（</t>
    </r>
    <r>
      <rPr>
        <sz val="10"/>
        <color rgb="FF000000"/>
        <rFont val="Arial"/>
        <family val="0"/>
        <charset val="1"/>
      </rPr>
      <t xml:space="preserve">BLE + LTE-M/GSM + GPS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</si>
  <si>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訂閱制之硬體前提；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GNSS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Bosch ConnectModule</t>
    </r>
  </si>
  <si>
    <r>
      <rPr>
        <sz val="10"/>
        <color rgb="FF000000"/>
        <rFont val="WenQuanYi Zen Hei"/>
        <family val="2"/>
      </rPr>
      <t xml:space="preserve">　主線束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電源座</t>
    </r>
  </si>
  <si>
    <r>
      <rPr>
        <sz val="10"/>
        <color rgb="FF000000"/>
        <rFont val="WenQuanYi Zen Hei"/>
        <family val="2"/>
      </rPr>
      <t xml:space="preserve">　充電器（</t>
    </r>
    <r>
      <rPr>
        <sz val="10"/>
        <color rgb="FF000000"/>
        <rFont val="Arial"/>
        <family val="0"/>
        <charset val="1"/>
      </rPr>
      <t xml:space="preserve">2A / 4A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</si>
  <si>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4A </t>
    </r>
    <r>
      <rPr>
        <sz val="10"/>
        <color rgb="FF000000"/>
        <rFont val="WenQuanYi Zen Hei"/>
        <family val="2"/>
      </rPr>
      <t xml:space="preserve">電源板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外殼</t>
    </r>
  </si>
  <si>
    <r>
      <rPr>
        <b val="true"/>
        <sz val="10"/>
        <rFont val="WenQuanYi Zen Hei"/>
        <family val="2"/>
      </rPr>
      <t xml:space="preserve">電控</t>
    </r>
    <r>
      <rPr>
        <b val="true"/>
        <sz val="10"/>
        <rFont val="Arial"/>
        <family val="0"/>
        <charset val="1"/>
      </rPr>
      <t xml:space="preserve">/HMI/</t>
    </r>
    <r>
      <rPr>
        <b val="true"/>
        <sz val="10"/>
        <rFont val="WenQuanYi Zen Hei"/>
        <family val="2"/>
      </rPr>
      <t xml:space="preserve">感測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連網小計</t>
    </r>
  </si>
  <si>
    <r>
      <rPr>
        <b val="true"/>
        <sz val="10"/>
        <rFont val="Arial"/>
        <family val="0"/>
        <charset val="1"/>
      </rPr>
      <t xml:space="preserve">4. </t>
    </r>
    <r>
      <rPr>
        <b val="true"/>
        <sz val="10"/>
        <rFont val="WenQuanYi Zen Hei"/>
        <family val="2"/>
      </rPr>
      <t xml:space="preserve">成本彙總</t>
    </r>
  </si>
  <si>
    <t xml:space="preserve">材料成本合計</t>
  </si>
  <si>
    <r>
      <rPr>
        <sz val="10"/>
        <color rgb="FF000000"/>
        <rFont val="WenQuanYi Zen Hei"/>
        <family val="2"/>
      </rPr>
      <t xml:space="preserve">　製造轉換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報廢</t>
    </r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</si>
  <si>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外購整套僅需系統整合測試，轉換率減半</t>
    </r>
  </si>
  <si>
    <r>
      <rPr>
        <sz val="10"/>
        <color rgb="FF000000"/>
        <rFont val="WenQuanYi Zen Hei"/>
        <family val="2"/>
      </rPr>
      <t xml:space="preserve">　認證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模具攤提（每套）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</si>
  <si>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共用一半模具；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由供應商承擔</t>
    </r>
  </si>
  <si>
    <t xml:space="preserve">三電系統總成本（每套）</t>
  </si>
  <si>
    <r>
      <rPr>
        <b val="true"/>
        <sz val="10"/>
        <rFont val="WenQuanYi Zen Hei"/>
        <family val="2"/>
      </rPr>
      <t xml:space="preserve">對 </t>
    </r>
    <r>
      <rPr>
        <b val="true"/>
        <sz val="10"/>
        <rFont val="Arial"/>
        <family val="0"/>
        <charset val="1"/>
      </rPr>
      <t xml:space="preserve">OEM </t>
    </r>
    <r>
      <rPr>
        <b val="true"/>
        <sz val="10"/>
        <rFont val="WenQuanYi Zen Hei"/>
        <family val="2"/>
      </rPr>
      <t xml:space="preserve">目標售價（依目標毛利率）</t>
    </r>
  </si>
  <si>
    <t xml:space="preserve">假設表毛利率</t>
  </si>
  <si>
    <r>
      <rPr>
        <sz val="10"/>
        <color rgb="FF000000"/>
        <rFont val="WenQuanYi Zen Hei"/>
        <family val="2"/>
      </rPr>
      <t xml:space="preserve">　目標售價 </t>
    </r>
    <r>
      <rPr>
        <sz val="10"/>
        <color rgb="FF000000"/>
        <rFont val="Arial"/>
        <family val="0"/>
        <charset val="1"/>
      </rPr>
      <t xml:space="preserve">(US$)</t>
    </r>
  </si>
  <si>
    <r>
      <rPr>
        <sz val="10"/>
        <color rgb="FF000000"/>
        <rFont val="WenQuanYi Zen Hei"/>
        <family val="2"/>
      </rPr>
      <t xml:space="preserve">　市場對照：同級系統 </t>
    </r>
    <r>
      <rPr>
        <sz val="10"/>
        <color rgb="FF000000"/>
        <rFont val="Arial"/>
        <family val="0"/>
        <charset val="1"/>
      </rPr>
      <t xml:space="preserve">OEM </t>
    </r>
    <r>
      <rPr>
        <sz val="10"/>
        <color rgb="FF000000"/>
        <rFont val="WenQuanYi Zen Hei"/>
        <family val="2"/>
      </rPr>
      <t xml:space="preserve">價（外部基準）</t>
    </r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</si>
  <si>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Bafang H </t>
    </r>
    <r>
      <rPr>
        <sz val="10"/>
        <color rgb="FF000000"/>
        <rFont val="WenQuanYi Zen Hei"/>
        <family val="2"/>
      </rPr>
      <t xml:space="preserve">系列輪轂套件；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Bafang M600 </t>
    </r>
    <r>
      <rPr>
        <sz val="10"/>
        <color rgb="FF000000"/>
        <rFont val="WenQuanYi Zen Hei"/>
        <family val="2"/>
      </rPr>
      <t xml:space="preserve">中置套件；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Bosch CX </t>
    </r>
    <r>
      <rPr>
        <sz val="10"/>
        <color rgb="FF000000"/>
        <rFont val="WenQuanYi Zen Hei"/>
        <family val="2"/>
      </rPr>
      <t xml:space="preserve">全系統</t>
    </r>
  </si>
  <si>
    <r>
      <rPr>
        <sz val="10"/>
        <color rgb="FF000000"/>
        <rFont val="WenQuanYi Zen Hei"/>
        <family val="2"/>
      </rPr>
      <t xml:space="preserve">　本案售價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市場對照</t>
    </r>
  </si>
  <si>
    <r>
      <rPr>
        <sz val="10"/>
        <color rgb="FF000000"/>
        <rFont val="WenQuanYi Zen Hei"/>
        <family val="2"/>
      </rPr>
      <t xml:space="preserve">正值＝本案售價高於市場對照（需靠整合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訂閱價值支撐）</t>
    </r>
  </si>
  <si>
    <r>
      <rPr>
        <sz val="10"/>
        <color rgb="FF000000"/>
        <rFont val="WenQuanYi Zen Hei"/>
        <family val="2"/>
      </rPr>
      <t xml:space="preserve">　三電系統佔整車 </t>
    </r>
    <r>
      <rPr>
        <sz val="10"/>
        <color rgb="FF000000"/>
        <rFont val="Arial"/>
        <family val="0"/>
        <charset val="1"/>
      </rPr>
      <t xml:space="preserve">BOM </t>
    </r>
    <r>
      <rPr>
        <sz val="10"/>
        <color rgb="FF000000"/>
        <rFont val="WenQuanYi Zen Hei"/>
        <family val="2"/>
      </rPr>
      <t xml:space="preserve">比重（整車 </t>
    </r>
    <r>
      <rPr>
        <sz val="10"/>
        <color rgb="FF000000"/>
        <rFont val="Arial"/>
        <family val="0"/>
        <charset val="1"/>
      </rPr>
      <t xml:space="preserve">BOM </t>
    </r>
    <r>
      <rPr>
        <sz val="10"/>
        <color rgb="FF000000"/>
        <rFont val="WenQuanYi Zen Hei"/>
        <family val="2"/>
      </rPr>
      <t xml:space="preserve">假設）</t>
    </r>
  </si>
  <si>
    <r>
      <rPr>
        <sz val="10"/>
        <color rgb="FF000000"/>
        <rFont val="WenQuanYi Zen Hei"/>
        <family val="2"/>
      </rPr>
      <t xml:space="preserve">整車 </t>
    </r>
    <r>
      <rPr>
        <sz val="10"/>
        <color rgb="FF000000"/>
        <rFont val="Arial"/>
        <family val="0"/>
        <charset val="1"/>
      </rPr>
      <t xml:space="preserve">BOM </t>
    </r>
    <r>
      <rPr>
        <sz val="10"/>
        <color rgb="FF000000"/>
        <rFont val="WenQuanYi Zen Hei"/>
        <family val="2"/>
      </rPr>
      <t xml:space="preserve">假設：</t>
    </r>
    <r>
      <rPr>
        <sz val="10"/>
        <color rgb="FF000000"/>
        <rFont val="Arial"/>
        <family val="0"/>
        <charset val="1"/>
      </rPr>
      <t xml:space="preserve">A NT$22,000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 NT$45,000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 NT$80,000</t>
    </r>
  </si>
  <si>
    <r>
      <rPr>
        <b val="true"/>
        <sz val="14"/>
        <rFont val="WenQuanYi Zen Hei"/>
        <family val="2"/>
      </rPr>
      <t xml:space="preserve">三種訂閱模式 單位經濟（每套三電系統，</t>
    </r>
    <r>
      <rPr>
        <b val="true"/>
        <sz val="14"/>
        <rFont val="Arial"/>
        <family val="0"/>
        <charset val="1"/>
      </rPr>
      <t xml:space="preserve">NT$</t>
    </r>
    <r>
      <rPr>
        <b val="true"/>
        <sz val="14"/>
        <rFont val="WenQuanYi Zen Hei"/>
        <family val="2"/>
      </rPr>
      <t xml:space="preserve">）</t>
    </r>
  </si>
  <si>
    <r>
      <rPr>
        <i val="true"/>
        <sz val="9"/>
        <rFont val="Arial"/>
        <family val="0"/>
        <charset val="1"/>
      </rPr>
      <t xml:space="preserve">M1 </t>
    </r>
    <r>
      <rPr>
        <i val="true"/>
        <sz val="9"/>
        <rFont val="WenQuanYi Zen Hei"/>
        <family val="2"/>
      </rPr>
      <t xml:space="preserve">軟體</t>
    </r>
    <r>
      <rPr>
        <i val="true"/>
        <sz val="9"/>
        <rFont val="Arial"/>
        <family val="0"/>
        <charset val="1"/>
      </rPr>
      <t xml:space="preserve">/</t>
    </r>
    <r>
      <rPr>
        <i val="true"/>
        <sz val="9"/>
        <rFont val="WenQuanYi Zen Hei"/>
        <family val="2"/>
      </rPr>
      <t xml:space="preserve">連網訂閱（</t>
    </r>
    <r>
      <rPr>
        <i val="true"/>
        <sz val="9"/>
        <rFont val="Arial"/>
        <family val="0"/>
        <charset val="1"/>
      </rPr>
      <t xml:space="preserve">Bosch Flow+ </t>
    </r>
    <r>
      <rPr>
        <i val="true"/>
        <sz val="9"/>
        <rFont val="WenQuanYi Zen Hei"/>
        <family val="2"/>
      </rPr>
      <t xml:space="preserve">型）｜</t>
    </r>
    <r>
      <rPr>
        <i val="true"/>
        <sz val="9"/>
        <rFont val="Arial"/>
        <family val="0"/>
        <charset val="1"/>
      </rPr>
      <t xml:space="preserve">M2 </t>
    </r>
    <r>
      <rPr>
        <i val="true"/>
        <sz val="9"/>
        <rFont val="WenQuanYi Zen Hei"/>
        <family val="2"/>
      </rPr>
      <t xml:space="preserve">電池訂閱 </t>
    </r>
    <r>
      <rPr>
        <i val="true"/>
        <sz val="9"/>
        <rFont val="Arial"/>
        <family val="0"/>
        <charset val="1"/>
      </rPr>
      <t xml:space="preserve">BaaS</t>
    </r>
    <r>
      <rPr>
        <i val="true"/>
        <sz val="9"/>
        <rFont val="WenQuanYi Zen Hei"/>
        <family val="2"/>
      </rPr>
      <t xml:space="preserve">（</t>
    </r>
    <r>
      <rPr>
        <i val="true"/>
        <sz val="9"/>
        <rFont val="Arial"/>
        <family val="0"/>
        <charset val="1"/>
      </rPr>
      <t xml:space="preserve">Enyring / Gogoro </t>
    </r>
    <r>
      <rPr>
        <i val="true"/>
        <sz val="9"/>
        <rFont val="WenQuanYi Zen Hei"/>
        <family val="2"/>
      </rPr>
      <t xml:space="preserve">型）｜</t>
    </r>
    <r>
      <rPr>
        <i val="true"/>
        <sz val="9"/>
        <rFont val="Arial"/>
        <family val="0"/>
        <charset val="1"/>
      </rPr>
      <t xml:space="preserve">M3 </t>
    </r>
    <r>
      <rPr>
        <i val="true"/>
        <sz val="9"/>
        <rFont val="WenQuanYi Zen Hei"/>
        <family val="2"/>
      </rPr>
      <t xml:space="preserve">三電硬體租賃 </t>
    </r>
    <r>
      <rPr>
        <i val="true"/>
        <sz val="9"/>
        <rFont val="Arial"/>
        <family val="0"/>
        <charset val="1"/>
      </rPr>
      <t xml:space="preserve">HaaS</t>
    </r>
    <r>
      <rPr>
        <i val="true"/>
        <sz val="9"/>
        <rFont val="WenQuanYi Zen Hei"/>
        <family val="2"/>
      </rPr>
      <t xml:space="preserve">（</t>
    </r>
    <r>
      <rPr>
        <i val="true"/>
        <sz val="9"/>
        <rFont val="Arial"/>
        <family val="0"/>
        <charset val="1"/>
      </rPr>
      <t xml:space="preserve">B2B </t>
    </r>
    <r>
      <rPr>
        <i val="true"/>
        <sz val="9"/>
        <rFont val="WenQuanYi Zen Hei"/>
        <family val="2"/>
      </rPr>
      <t xml:space="preserve">車隊 </t>
    </r>
    <r>
      <rPr>
        <i val="true"/>
        <sz val="9"/>
        <rFont val="Arial"/>
        <family val="0"/>
        <charset val="1"/>
      </rPr>
      <t xml:space="preserve">Zoomo </t>
    </r>
    <r>
      <rPr>
        <i val="true"/>
        <sz val="9"/>
        <rFont val="WenQuanYi Zen Hei"/>
        <family val="2"/>
      </rPr>
      <t xml:space="preserve">型）。與 </t>
    </r>
    <r>
      <rPr>
        <i val="true"/>
        <sz val="9"/>
        <rFont val="Arial"/>
        <family val="0"/>
        <charset val="1"/>
      </rPr>
      <t xml:space="preserve">M0 </t>
    </r>
    <r>
      <rPr>
        <i val="true"/>
        <sz val="9"/>
        <rFont val="WenQuanYi Zen Hei"/>
        <family val="2"/>
      </rPr>
      <t xml:space="preserve">一次性銷售對照。</t>
    </r>
  </si>
  <si>
    <r>
      <rPr>
        <b val="true"/>
        <sz val="11"/>
        <color rgb="FFFFFFFF"/>
        <rFont val="Arial"/>
        <family val="0"/>
        <charset val="1"/>
      </rPr>
      <t xml:space="preserve">M0</t>
    </r>
    <r>
      <rPr>
        <b val="true"/>
        <sz val="11"/>
        <color rgb="FFFFFFFF"/>
        <rFont val="WenQuanYi Zen Hei"/>
        <family val="2"/>
      </rPr>
      <t xml:space="preserve">｜一次性銷售（基準）</t>
    </r>
  </si>
  <si>
    <t xml:space="preserve">說明</t>
  </si>
  <si>
    <r>
      <rPr>
        <sz val="10"/>
        <color rgb="FF000000"/>
        <rFont val="WenQuanYi Zen Hei"/>
        <family val="2"/>
      </rPr>
      <t xml:space="preserve">系統成本（架構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</si>
  <si>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NT$/</t>
    </r>
    <r>
      <rPr>
        <sz val="10"/>
        <color rgb="FF000000"/>
        <rFont val="WenQuanYi Zen Hei"/>
        <family val="2"/>
      </rPr>
      <t xml:space="preserve">套</t>
    </r>
  </si>
  <si>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WenQuanYi Zen Hei"/>
        <family val="2"/>
      </rPr>
      <t xml:space="preserve">分析</t>
    </r>
  </si>
  <si>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OEM </t>
    </r>
    <r>
      <rPr>
        <sz val="10"/>
        <color rgb="FF000000"/>
        <rFont val="WenQuanYi Zen Hei"/>
        <family val="2"/>
      </rPr>
      <t xml:space="preserve">售價</t>
    </r>
  </si>
  <si>
    <t xml:space="preserve">★毛利（每套，一次性）</t>
  </si>
  <si>
    <r>
      <rPr>
        <sz val="10"/>
        <color rgb="FF000000"/>
        <rFont val="WenQuanYi Zen Hei"/>
        <family val="2"/>
      </rPr>
      <t xml:space="preserve">售後零件與服務毛利（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年累計）</t>
    </r>
  </si>
  <si>
    <r>
      <rPr>
        <sz val="10"/>
        <color rgb="FF000000"/>
        <rFont val="WenQuanYi Zen Hei"/>
        <family val="2"/>
      </rPr>
      <t xml:space="preserve">假設：保固外零件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服務；傳統 </t>
    </r>
    <r>
      <rPr>
        <sz val="10"/>
        <color rgb="FF000000"/>
        <rFont val="Arial"/>
        <family val="0"/>
        <charset val="1"/>
      </rPr>
      <t xml:space="preserve">OEM </t>
    </r>
    <r>
      <rPr>
        <sz val="10"/>
        <color rgb="FF000000"/>
        <rFont val="WenQuanYi Zen Hei"/>
        <family val="2"/>
      </rPr>
      <t xml:space="preserve">模式下多由通路取得</t>
    </r>
  </si>
  <si>
    <r>
      <rPr>
        <b val="true"/>
        <sz val="10"/>
        <rFont val="Arial"/>
        <family val="0"/>
        <charset val="1"/>
      </rPr>
      <t xml:space="preserve">★4 </t>
    </r>
    <r>
      <rPr>
        <b val="true"/>
        <sz val="10"/>
        <rFont val="WenQuanYi Zen Hei"/>
        <family val="2"/>
      </rPr>
      <t xml:space="preserve">年累計毛利</t>
    </r>
  </si>
  <si>
    <r>
      <rPr>
        <b val="true"/>
        <sz val="11"/>
        <color rgb="FFFFFFFF"/>
        <rFont val="Arial"/>
        <family val="0"/>
        <charset val="1"/>
      </rPr>
      <t xml:space="preserve">M1</t>
    </r>
    <r>
      <rPr>
        <b val="true"/>
        <sz val="11"/>
        <color rgb="FFFFFFFF"/>
        <rFont val="WenQuanYi Zen Hei"/>
        <family val="2"/>
      </rPr>
      <t xml:space="preserve">｜軟體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WenQuanYi Zen Hei"/>
        <family val="2"/>
      </rPr>
      <t xml:space="preserve">連網訂閱（</t>
    </r>
    <r>
      <rPr>
        <b val="true"/>
        <sz val="11"/>
        <color rgb="FFFFFFFF"/>
        <rFont val="Arial"/>
        <family val="0"/>
        <charset val="1"/>
      </rPr>
      <t xml:space="preserve">Bosch Flow+ </t>
    </r>
    <r>
      <rPr>
        <b val="true"/>
        <sz val="11"/>
        <color rgb="FFFFFFFF"/>
        <rFont val="WenQuanYi Zen Hei"/>
        <family val="2"/>
      </rPr>
      <t xml:space="preserve">型；隨系統出貨，選配訂閱）</t>
    </r>
  </si>
  <si>
    <t xml:space="preserve">年費（含稅前）</t>
  </si>
  <si>
    <r>
      <rPr>
        <sz val="10"/>
        <color rgb="FF000000"/>
        <rFont val="Arial"/>
        <family val="0"/>
        <charset val="1"/>
      </rPr>
      <t xml:space="preserve">NT$/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</si>
  <si>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外部基準：</t>
    </r>
    <r>
      <rPr>
        <sz val="10"/>
        <color rgb="FF000000"/>
        <rFont val="Arial"/>
        <family val="0"/>
        <charset val="1"/>
      </rPr>
      <t xml:space="preserve">Bosch Flow+ </t>
    </r>
    <r>
      <rPr>
        <sz val="10"/>
        <color rgb="FF000000"/>
        <rFont val="WenQuanYi Zen Hei"/>
        <family val="2"/>
      </rPr>
      <t xml:space="preserve">年費 €</t>
    </r>
    <r>
      <rPr>
        <sz val="10"/>
        <color rgb="FF000000"/>
        <rFont val="Arial"/>
        <family val="0"/>
        <charset val="1"/>
      </rPr>
      <t xml:space="preserve">39.99 </t>
    </r>
    <r>
      <rPr>
        <sz val="10"/>
        <color rgb="FF000000"/>
        <rFont val="WenQuanYi Zen Hei"/>
        <family val="2"/>
      </rPr>
      <t xml:space="preserve">換算</t>
    </r>
  </si>
  <si>
    <t xml:space="preserve">訂閱轉換率（出貨後啟用）</t>
  </si>
  <si>
    <r>
      <rPr>
        <sz val="10"/>
        <color rgb="FF000000"/>
        <rFont val="WenQuanYi Zen Hei"/>
        <family val="2"/>
      </rPr>
      <t xml:space="preserve">假設：連網 </t>
    </r>
    <r>
      <rPr>
        <sz val="10"/>
        <color rgb="FF000000"/>
        <rFont val="Arial"/>
        <family val="0"/>
        <charset val="1"/>
      </rPr>
      <t xml:space="preserve">e-bike </t>
    </r>
    <r>
      <rPr>
        <sz val="10"/>
        <color rgb="FF000000"/>
        <rFont val="WenQuanYi Zen Hei"/>
        <family val="2"/>
      </rPr>
      <t xml:space="preserve">付費轉換率；</t>
    </r>
    <r>
      <rPr>
        <sz val="10"/>
        <color rgb="FF000000"/>
        <rFont val="Arial"/>
        <family val="0"/>
        <charset val="1"/>
      </rPr>
      <t xml:space="preserve">Bosch/Cowboy </t>
    </r>
    <r>
      <rPr>
        <sz val="10"/>
        <color rgb="FF000000"/>
        <rFont val="WenQuanYi Zen Hei"/>
        <family val="2"/>
      </rPr>
      <t xml:space="preserve">未揭露，以 </t>
    </r>
    <r>
      <rPr>
        <sz val="10"/>
        <color rgb="FF000000"/>
        <rFont val="Arial"/>
        <family val="0"/>
        <charset val="1"/>
      </rPr>
      <t xml:space="preserve">15–25% </t>
    </r>
    <r>
      <rPr>
        <sz val="10"/>
        <color rgb="FF000000"/>
        <rFont val="WenQuanYi Zen Hei"/>
        <family val="2"/>
      </rPr>
      <t xml:space="preserve">情境</t>
    </r>
  </si>
  <si>
    <t xml:space="preserve">年流失率</t>
  </si>
  <si>
    <t xml:space="preserve">平均訂閱年數</t>
  </si>
  <si>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1/</t>
    </r>
    <r>
      <rPr>
        <sz val="10"/>
        <color rgb="FF000000"/>
        <rFont val="WenQuanYi Zen Hei"/>
        <family val="2"/>
      </rPr>
      <t xml:space="preserve">流失率</t>
    </r>
  </si>
  <si>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WenQuanYi Zen Hei"/>
        <family val="2"/>
      </rPr>
      <t xml:space="preserve">商店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金流手續費</t>
    </r>
  </si>
  <si>
    <r>
      <rPr>
        <sz val="10"/>
        <color rgb="FF000000"/>
        <rFont val="WenQuanYi Zen Hei"/>
        <family val="2"/>
      </rPr>
      <t xml:space="preserve">假設：</t>
    </r>
    <r>
      <rPr>
        <sz val="10"/>
        <color rgb="FF000000"/>
        <rFont val="Arial"/>
        <family val="0"/>
        <charset val="1"/>
      </rPr>
      <t xml:space="preserve">App Store/Google Play 15%</t>
    </r>
    <r>
      <rPr>
        <sz val="10"/>
        <color rgb="FF000000"/>
        <rFont val="WenQuanYi Zen Hei"/>
        <family val="2"/>
      </rPr>
      <t xml:space="preserve">（小型開發者費率）或自建金流 </t>
    </r>
    <r>
      <rPr>
        <sz val="10"/>
        <color rgb="FF000000"/>
        <rFont val="Arial"/>
        <family val="0"/>
        <charset val="1"/>
      </rPr>
      <t xml:space="preserve">3%</t>
    </r>
  </si>
  <si>
    <r>
      <rPr>
        <sz val="10"/>
        <color rgb="FF000000"/>
        <rFont val="WenQuanYi Zen Hei"/>
        <family val="2"/>
      </rPr>
      <t xml:space="preserve">電信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雲端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客服（每活躍用戶）</t>
    </r>
  </si>
  <si>
    <r>
      <rPr>
        <sz val="10"/>
        <color rgb="FF000000"/>
        <rFont val="WenQuanYi Zen Hei"/>
        <family val="2"/>
      </rPr>
      <t xml:space="preserve">假設：</t>
    </r>
    <r>
      <rPr>
        <sz val="10"/>
        <color rgb="FF000000"/>
        <rFont val="Arial"/>
        <family val="0"/>
        <charset val="1"/>
      </rPr>
      <t xml:space="preserve">LTE-M </t>
    </r>
    <r>
      <rPr>
        <sz val="10"/>
        <color rgb="FF000000"/>
        <rFont val="WenQuanYi Zen Hei"/>
        <family val="2"/>
      </rPr>
      <t xml:space="preserve">資費約 </t>
    </r>
    <r>
      <rPr>
        <sz val="10"/>
        <color rgb="FF000000"/>
        <rFont val="Arial"/>
        <family val="0"/>
        <charset val="1"/>
      </rPr>
      <t xml:space="preserve">NT$150–250/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雲端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客服</t>
    </r>
  </si>
  <si>
    <r>
      <rPr>
        <sz val="10"/>
        <color rgb="FF000000"/>
        <rFont val="Arial"/>
        <family val="0"/>
        <charset val="1"/>
      </rPr>
      <t xml:space="preserve">IoT </t>
    </r>
    <r>
      <rPr>
        <sz val="10"/>
        <color rgb="FF000000"/>
        <rFont val="WenQuanYi Zen Hei"/>
        <family val="2"/>
      </rPr>
      <t xml:space="preserve">模組增量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WenQuanYi Zen Hei"/>
        <family val="2"/>
      </rPr>
      <t xml:space="preserve">（每套出貨，不論是否訂閱）</t>
    </r>
  </si>
  <si>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WenQuanYi Zen Hei"/>
        <family val="2"/>
      </rPr>
      <t xml:space="preserve">分析（若 </t>
    </r>
    <r>
      <rPr>
        <sz val="10"/>
        <color rgb="FF000000"/>
        <rFont val="Arial"/>
        <family val="0"/>
        <charset val="1"/>
      </rPr>
      <t xml:space="preserve">IoT </t>
    </r>
    <r>
      <rPr>
        <sz val="10"/>
        <color rgb="FF000000"/>
        <rFont val="WenQuanYi Zen Hei"/>
        <family val="2"/>
      </rPr>
      <t xml:space="preserve">模組已是標配，則此成本本就在 </t>
    </r>
    <r>
      <rPr>
        <sz val="10"/>
        <color rgb="FF000000"/>
        <rFont val="Arial"/>
        <family val="0"/>
        <charset val="1"/>
      </rPr>
      <t xml:space="preserve">BOM </t>
    </r>
    <r>
      <rPr>
        <sz val="10"/>
        <color rgb="FF000000"/>
        <rFont val="WenQuanYi Zen Hei"/>
        <family val="2"/>
      </rPr>
      <t xml:space="preserve">內）</t>
    </r>
  </si>
  <si>
    <r>
      <rPr>
        <sz val="10"/>
        <color rgb="FF000000"/>
        <rFont val="Arial"/>
        <family val="0"/>
        <charset val="1"/>
      </rPr>
      <t xml:space="preserve">IoT </t>
    </r>
    <r>
      <rPr>
        <sz val="10"/>
        <color rgb="FF000000"/>
        <rFont val="WenQuanYi Zen Hei"/>
        <family val="2"/>
      </rPr>
      <t xml:space="preserve">硬體成本隨系統售價轉嫁比例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</si>
  <si>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IoT </t>
    </r>
    <r>
      <rPr>
        <sz val="10"/>
        <color rgb="FF000000"/>
        <rFont val="WenQuanYi Zen Hei"/>
        <family val="2"/>
      </rPr>
      <t xml:space="preserve">模組如 </t>
    </r>
    <r>
      <rPr>
        <sz val="10"/>
        <color rgb="FF000000"/>
        <rFont val="Arial"/>
        <family val="0"/>
        <charset val="1"/>
      </rPr>
      <t xml:space="preserve">Bosch ConnectModule </t>
    </r>
    <r>
      <rPr>
        <sz val="10"/>
        <color rgb="FF000000"/>
        <rFont val="WenQuanYi Zen Hei"/>
        <family val="2"/>
      </rPr>
      <t xml:space="preserve">以售價轉嫁給 </t>
    </r>
    <r>
      <rPr>
        <sz val="10"/>
        <color rgb="FF000000"/>
        <rFont val="Arial"/>
        <family val="0"/>
        <charset val="1"/>
      </rPr>
      <t xml:space="preserve">OEM/</t>
    </r>
    <r>
      <rPr>
        <sz val="10"/>
        <color rgb="FF000000"/>
        <rFont val="WenQuanYi Zen Hei"/>
        <family val="2"/>
      </rPr>
      <t xml:space="preserve">消費者；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＝達方自行吸收</t>
    </r>
  </si>
  <si>
    <t xml:space="preserve">軟體平台攤提基礎年量</t>
  </si>
  <si>
    <r>
      <rPr>
        <sz val="10"/>
        <color rgb="FF000000"/>
        <rFont val="WenQuanYi Zen Hei"/>
        <family val="2"/>
      </rPr>
      <t xml:space="preserve">假設：集團連網車年量（</t>
    </r>
    <r>
      <rPr>
        <sz val="10"/>
        <color rgb="FF000000"/>
        <rFont val="Arial"/>
        <family val="0"/>
        <charset val="1"/>
      </rPr>
      <t xml:space="preserve">BESV + Mondraker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萬台 </t>
    </r>
    <r>
      <rPr>
        <sz val="10"/>
        <color rgb="FF000000"/>
        <rFont val="Arial"/>
        <family val="0"/>
        <charset val="1"/>
      </rPr>
      <t xml:space="preserve">+ GROFA </t>
    </r>
    <r>
      <rPr>
        <sz val="10"/>
        <color rgb="FF000000"/>
        <rFont val="WenQuanYi Zen Hei"/>
        <family val="2"/>
      </rPr>
      <t xml:space="preserve">通路），平台共用</t>
    </r>
  </si>
  <si>
    <r>
      <rPr>
        <sz val="10"/>
        <color rgb="FF000000"/>
        <rFont val="WenQuanYi Zen Hei"/>
        <family val="2"/>
      </rPr>
      <t xml:space="preserve">軟體開發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維護攤提（每套出貨）</t>
    </r>
  </si>
  <si>
    <r>
      <rPr>
        <sz val="10"/>
        <color rgb="FF000000"/>
        <rFont val="WenQuanYi Zen Hei"/>
        <family val="2"/>
      </rPr>
      <t xml:space="preserve">假設：年軟體團隊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雲端維運 </t>
    </r>
    <r>
      <rPr>
        <sz val="10"/>
        <color rgb="FF000000"/>
        <rFont val="Arial"/>
        <family val="0"/>
        <charset val="1"/>
      </rPr>
      <t xml:space="preserve">NT$12,000,000</t>
    </r>
    <r>
      <rPr>
        <sz val="10"/>
        <color rgb="FF000000"/>
        <rFont val="WenQuanYi Zen Hei"/>
        <family val="2"/>
      </rPr>
      <t xml:space="preserve">／攤提年量</t>
    </r>
  </si>
  <si>
    <r>
      <rPr>
        <b val="true"/>
        <sz val="10"/>
        <rFont val="WenQuanYi Zen Hei"/>
        <family val="2"/>
      </rPr>
      <t xml:space="preserve">★每套出貨之訂閱 </t>
    </r>
    <r>
      <rPr>
        <b val="true"/>
        <sz val="10"/>
        <rFont val="Arial"/>
        <family val="0"/>
        <charset val="1"/>
      </rPr>
      <t xml:space="preserve">LTV</t>
    </r>
    <r>
      <rPr>
        <b val="true"/>
        <sz val="10"/>
        <rFont val="WenQuanYi Zen Hei"/>
        <family val="2"/>
      </rPr>
      <t xml:space="preserve">（毛利）</t>
    </r>
  </si>
  <si>
    <r>
      <rPr>
        <sz val="10"/>
        <color rgb="FF000000"/>
        <rFont val="WenQuanYi Zen Hei"/>
        <family val="2"/>
      </rPr>
      <t xml:space="preserve">轉換率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年數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（年費淨額 − 變動成本）</t>
    </r>
  </si>
  <si>
    <r>
      <rPr>
        <b val="true"/>
        <sz val="10"/>
        <rFont val="WenQuanYi Zen Hei"/>
        <family val="2"/>
      </rPr>
      <t xml:space="preserve">★每套淨增量毛利（扣 </t>
    </r>
    <r>
      <rPr>
        <b val="true"/>
        <sz val="10"/>
        <rFont val="Arial"/>
        <family val="0"/>
        <charset val="1"/>
      </rPr>
      <t xml:space="preserve">IoT </t>
    </r>
    <r>
      <rPr>
        <b val="true"/>
        <sz val="10"/>
        <rFont val="WenQuanYi Zen Hei"/>
        <family val="2"/>
      </rPr>
      <t xml:space="preserve">硬體與軟體攤提）</t>
    </r>
  </si>
  <si>
    <t xml:space="preserve">★損益兩平轉換率</t>
  </si>
  <si>
    <r>
      <rPr>
        <sz val="10"/>
        <color rgb="FF000000"/>
        <rFont val="WenQuanYi Zen Hei"/>
        <family val="2"/>
      </rPr>
      <t xml:space="preserve">未轉嫁之 </t>
    </r>
    <r>
      <rPr>
        <sz val="10"/>
        <color rgb="FF000000"/>
        <rFont val="Arial"/>
        <family val="0"/>
        <charset val="1"/>
      </rPr>
      <t xml:space="preserve">IoT + </t>
    </r>
    <r>
      <rPr>
        <sz val="10"/>
        <color rgb="FF000000"/>
        <rFont val="WenQuanYi Zen Hei"/>
        <family val="2"/>
      </rPr>
      <t xml:space="preserve">軟體攤提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單一訂戶終身毛利</t>
    </r>
  </si>
  <si>
    <r>
      <rPr>
        <b val="true"/>
        <sz val="10"/>
        <rFont val="WenQuanYi Zen Hei"/>
        <family val="2"/>
      </rPr>
      <t xml:space="preserve">★相對 </t>
    </r>
    <r>
      <rPr>
        <b val="true"/>
        <sz val="10"/>
        <rFont val="Arial"/>
        <family val="0"/>
        <charset val="1"/>
      </rPr>
      <t xml:space="preserve">M0 </t>
    </r>
    <r>
      <rPr>
        <b val="true"/>
        <sz val="10"/>
        <rFont val="WenQuanYi Zen Hei"/>
        <family val="2"/>
      </rPr>
      <t xml:space="preserve">一次性毛利之增幅</t>
    </r>
  </si>
  <si>
    <r>
      <rPr>
        <b val="true"/>
        <sz val="11"/>
        <color rgb="FFFFFFFF"/>
        <rFont val="Arial"/>
        <family val="0"/>
        <charset val="1"/>
      </rPr>
      <t xml:space="preserve">M2</t>
    </r>
    <r>
      <rPr>
        <b val="true"/>
        <sz val="11"/>
        <color rgb="FFFFFFFF"/>
        <rFont val="WenQuanYi Zen Hei"/>
        <family val="2"/>
      </rPr>
      <t xml:space="preserve">｜電池訂閱 </t>
    </r>
    <r>
      <rPr>
        <b val="true"/>
        <sz val="11"/>
        <color rgb="FFFFFFFF"/>
        <rFont val="Arial"/>
        <family val="0"/>
        <charset val="1"/>
      </rPr>
      <t xml:space="preserve">BaaS</t>
    </r>
    <r>
      <rPr>
        <b val="true"/>
        <sz val="11"/>
        <color rgb="FFFFFFFF"/>
        <rFont val="WenQuanYi Zen Hei"/>
        <family val="2"/>
      </rPr>
      <t xml:space="preserve">（電池不隨車售出，按月收費；含健康度保證與到期更換）</t>
    </r>
  </si>
  <si>
    <r>
      <rPr>
        <sz val="10"/>
        <color rgb="FF000000"/>
        <rFont val="WenQuanYi Zen Hei"/>
        <family val="2"/>
      </rPr>
      <t xml:space="preserve">電池成本（架構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720Wh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</si>
  <si>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NT$/</t>
    </r>
    <r>
      <rPr>
        <sz val="10"/>
        <color rgb="FF000000"/>
        <rFont val="WenQuanYi Zen Hei"/>
        <family val="2"/>
      </rPr>
      <t xml:space="preserve">顆</t>
    </r>
  </si>
  <si>
    <t xml:space="preserve">月費</t>
  </si>
  <si>
    <r>
      <rPr>
        <sz val="10"/>
        <color rgb="FF000000"/>
        <rFont val="WenQuanYi Zen Hei"/>
        <family val="2"/>
      </rPr>
      <t xml:space="preserve">外部基準：假設 €</t>
    </r>
    <r>
      <rPr>
        <sz val="10"/>
        <color rgb="FF000000"/>
        <rFont val="Arial"/>
        <family val="0"/>
        <charset val="1"/>
      </rPr>
      <t xml:space="preserve">19.9/</t>
    </r>
    <r>
      <rPr>
        <sz val="10"/>
        <color rgb="FF000000"/>
        <rFont val="WenQuanYi Zen Hei"/>
        <family val="2"/>
      </rPr>
      <t xml:space="preserve">月換算（</t>
    </r>
    <r>
      <rPr>
        <sz val="10"/>
        <color rgb="FF000000"/>
        <rFont val="Arial"/>
        <family val="0"/>
        <charset val="1"/>
      </rPr>
      <t xml:space="preserve">Enyring </t>
    </r>
    <r>
      <rPr>
        <sz val="10"/>
        <color rgb="FF000000"/>
        <rFont val="WenQuanYi Zen Hei"/>
        <family val="2"/>
      </rPr>
      <t xml:space="preserve">未公布）；</t>
    </r>
    <r>
      <rPr>
        <sz val="10"/>
        <color rgb="FF000000"/>
        <rFont val="Arial"/>
        <family val="0"/>
        <charset val="1"/>
      </rPr>
      <t xml:space="preserve">Gogoro NT$499–1,199/</t>
    </r>
    <r>
      <rPr>
        <sz val="10"/>
        <color rgb="FF000000"/>
        <rFont val="WenQuanYi Zen Hei"/>
        <family val="2"/>
      </rPr>
      <t xml:space="preserve">月、</t>
    </r>
    <r>
      <rPr>
        <sz val="10"/>
        <color rgb="FF000000"/>
        <rFont val="Arial"/>
        <family val="0"/>
        <charset val="1"/>
      </rPr>
      <t xml:space="preserve">Ionex NT$188 </t>
    </r>
    <r>
      <rPr>
        <sz val="10"/>
        <color rgb="FF000000"/>
        <rFont val="WenQuanYi Zen Hei"/>
        <family val="2"/>
      </rPr>
      <t xml:space="preserve">起</t>
    </r>
  </si>
  <si>
    <r>
      <rPr>
        <sz val="10"/>
        <color rgb="FF000000"/>
        <rFont val="WenQuanYi Zen Hei"/>
        <family val="2"/>
      </rPr>
      <t xml:space="preserve">通路分潤、金流與稅費（</t>
    </r>
    <r>
      <rPr>
        <sz val="10"/>
        <color rgb="FF000000"/>
        <rFont val="Arial"/>
        <family val="0"/>
        <charset val="1"/>
      </rPr>
      <t xml:space="preserve">% of </t>
    </r>
    <r>
      <rPr>
        <sz val="10"/>
        <color rgb="FF000000"/>
        <rFont val="WenQuanYi Zen Hei"/>
        <family val="2"/>
      </rPr>
      <t xml:space="preserve">月費）</t>
    </r>
  </si>
  <si>
    <r>
      <rPr>
        <sz val="10"/>
        <color rgb="FF000000"/>
        <rFont val="WenQuanYi Zen Hei"/>
        <family val="2"/>
      </rPr>
      <t xml:space="preserve">假設：經銷商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通路 </t>
    </r>
    <r>
      <rPr>
        <sz val="10"/>
        <color rgb="FF000000"/>
        <rFont val="Arial"/>
        <family val="0"/>
        <charset val="1"/>
      </rPr>
      <t xml:space="preserve">20–25% + VAT/</t>
    </r>
    <r>
      <rPr>
        <sz val="10"/>
        <color rgb="FF000000"/>
        <rFont val="WenQuanYi Zen Hei"/>
        <family val="2"/>
      </rPr>
      <t xml:space="preserve">金流 </t>
    </r>
    <r>
      <rPr>
        <sz val="10"/>
        <color rgb="FF000000"/>
        <rFont val="Arial"/>
        <family val="0"/>
        <charset val="1"/>
      </rPr>
      <t xml:space="preserve">10–15%</t>
    </r>
    <r>
      <rPr>
        <sz val="10"/>
        <color rgb="FF000000"/>
        <rFont val="WenQuanYi Zen Hei"/>
        <family val="2"/>
      </rPr>
      <t xml:space="preserve">；達方實收 </t>
    </r>
    <r>
      <rPr>
        <sz val="10"/>
        <color rgb="FF000000"/>
        <rFont val="Arial"/>
        <family val="0"/>
        <charset val="1"/>
      </rPr>
      <t xml:space="preserve">65%</t>
    </r>
  </si>
  <si>
    <r>
      <rPr>
        <sz val="10"/>
        <color rgb="FF000000"/>
        <rFont val="WenQuanYi Zen Hei"/>
        <family val="2"/>
      </rPr>
      <t xml:space="preserve">車價折讓（不含電池售出，</t>
    </r>
    <r>
      <rPr>
        <sz val="10"/>
        <color rgb="FF000000"/>
        <rFont val="Arial"/>
        <family val="0"/>
        <charset val="1"/>
      </rPr>
      <t xml:space="preserve">OEM </t>
    </r>
    <r>
      <rPr>
        <sz val="10"/>
        <color rgb="FF000000"/>
        <rFont val="WenQuanYi Zen Hei"/>
        <family val="2"/>
      </rPr>
      <t xml:space="preserve">讓出電池售價）</t>
    </r>
  </si>
  <si>
    <r>
      <rPr>
        <sz val="10"/>
        <color rgb="FF000000"/>
        <rFont val="WenQuanYi Zen Hei"/>
        <family val="2"/>
      </rPr>
      <t xml:space="preserve">電池不賣 → 系統售價下降此金額（電池成本</t>
    </r>
    <r>
      <rPr>
        <sz val="10"/>
        <color rgb="FF000000"/>
        <rFont val="Arial"/>
        <family val="0"/>
        <charset val="1"/>
      </rPr>
      <t xml:space="preserve">/(1-</t>
    </r>
    <r>
      <rPr>
        <sz val="10"/>
        <color rgb="FF000000"/>
        <rFont val="WenQuanYi Zen Hei"/>
        <family val="2"/>
      </rPr>
      <t xml:space="preserve">毛利率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</si>
  <si>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合約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續約平均使用月數</t>
    </r>
  </si>
  <si>
    <t xml:space="preserve">月</t>
  </si>
  <si>
    <r>
      <rPr>
        <sz val="10"/>
        <color rgb="FF000000"/>
        <rFont val="WenQuanYi Zen Hei"/>
        <family val="2"/>
      </rPr>
      <t xml:space="preserve">假設：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年（含續約）</t>
    </r>
  </si>
  <si>
    <t xml:space="preserve">電池壽命（循環）</t>
  </si>
  <si>
    <r>
      <rPr>
        <sz val="10"/>
        <color rgb="FF000000"/>
        <rFont val="WenQuanYi Zen Hei"/>
        <family val="2"/>
      </rPr>
      <t xml:space="preserve">外部基準：</t>
    </r>
    <r>
      <rPr>
        <sz val="10"/>
        <color rgb="FF000000"/>
        <rFont val="Arial"/>
        <family val="0"/>
        <charset val="1"/>
      </rPr>
      <t xml:space="preserve">21700 NMC 80% SoH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600–1,000 cycles</t>
    </r>
  </si>
  <si>
    <t xml:space="preserve">年均充電循環</t>
  </si>
  <si>
    <r>
      <rPr>
        <sz val="10"/>
        <color rgb="FF000000"/>
        <rFont val="Arial"/>
        <family val="0"/>
        <charset val="1"/>
      </rPr>
      <t xml:space="preserve">cycles/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</si>
  <si>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假設：通勤族每週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次</t>
    </r>
  </si>
  <si>
    <t xml:space="preserve">合約期內更換機率</t>
  </si>
  <si>
    <r>
      <rPr>
        <sz val="10"/>
        <color rgb="FF000000"/>
        <rFont val="WenQuanYi Zen Hei"/>
        <family val="2"/>
      </rPr>
      <t xml:space="preserve">超過壽命部分 </t>
    </r>
    <r>
      <rPr>
        <sz val="10"/>
        <color rgb="FF000000"/>
        <rFont val="Arial"/>
        <family val="0"/>
        <charset val="1"/>
      </rPr>
      <t xml:space="preserve">+ 8% </t>
    </r>
    <r>
      <rPr>
        <sz val="10"/>
        <color rgb="FF000000"/>
        <rFont val="WenQuanYi Zen Hei"/>
        <family val="2"/>
      </rPr>
      <t xml:space="preserve">故障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意外更換</t>
    </r>
  </si>
  <si>
    <r>
      <rPr>
        <sz val="10"/>
        <color rgb="FF000000"/>
        <rFont val="WenQuanYi Zen Hei"/>
        <family val="2"/>
      </rPr>
      <t xml:space="preserve">每月物流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檢測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客服</t>
    </r>
  </si>
  <si>
    <r>
      <rPr>
        <sz val="10"/>
        <color rgb="FF000000"/>
        <rFont val="WenQuanYi Zen Hei"/>
        <family val="2"/>
      </rPr>
      <t xml:space="preserve">到期殘值（二手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儲能再利用）</t>
    </r>
  </si>
  <si>
    <r>
      <rPr>
        <sz val="10"/>
        <color rgb="FF000000"/>
        <rFont val="Arial"/>
        <family val="0"/>
        <charset val="1"/>
      </rPr>
      <t xml:space="preserve">% of </t>
    </r>
    <r>
      <rPr>
        <sz val="10"/>
        <color rgb="FF000000"/>
        <rFont val="WenQuanYi Zen Hei"/>
        <family val="2"/>
      </rPr>
      <t xml:space="preserve">成本</t>
    </r>
  </si>
  <si>
    <r>
      <rPr>
        <sz val="10"/>
        <color rgb="FF000000"/>
        <rFont val="WenQuanYi Zen Hei"/>
        <family val="2"/>
      </rPr>
      <t xml:space="preserve">壞帳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流失損失率</t>
    </r>
  </si>
  <si>
    <r>
      <rPr>
        <sz val="10"/>
        <color rgb="FF000000"/>
        <rFont val="Arial"/>
        <family val="0"/>
        <charset val="1"/>
      </rPr>
      <t xml:space="preserve">% of </t>
    </r>
    <r>
      <rPr>
        <sz val="10"/>
        <color rgb="FF000000"/>
        <rFont val="WenQuanYi Zen Hei"/>
        <family val="2"/>
      </rPr>
      <t xml:space="preserve">收入</t>
    </r>
  </si>
  <si>
    <t xml:space="preserve">★合約期淨收入（達方實收）</t>
  </si>
  <si>
    <t xml:space="preserve">★合約期總成本</t>
  </si>
  <si>
    <r>
      <rPr>
        <sz val="10"/>
        <color rgb="FF000000"/>
        <rFont val="WenQuanYi Zen Hei"/>
        <family val="2"/>
      </rPr>
      <t xml:space="preserve">電池 </t>
    </r>
    <r>
      <rPr>
        <sz val="10"/>
        <color rgb="FF000000"/>
        <rFont val="Arial"/>
        <family val="0"/>
        <charset val="1"/>
      </rPr>
      <t xml:space="preserve">×(1+</t>
    </r>
    <r>
      <rPr>
        <sz val="10"/>
        <color rgb="FF000000"/>
        <rFont val="WenQuanYi Zen Hei"/>
        <family val="2"/>
      </rPr>
      <t xml:space="preserve">更換率</t>
    </r>
    <r>
      <rPr>
        <sz val="10"/>
        <color rgb="FF000000"/>
        <rFont val="Arial"/>
        <family val="0"/>
        <charset val="1"/>
      </rPr>
      <t xml:space="preserve">) − </t>
    </r>
    <r>
      <rPr>
        <sz val="10"/>
        <color rgb="FF000000"/>
        <rFont val="WenQuanYi Zen Hei"/>
        <family val="2"/>
      </rPr>
      <t xml:space="preserve">殘值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月服務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壞帳</t>
    </r>
  </si>
  <si>
    <t xml:space="preserve">★合約期毛利</t>
  </si>
  <si>
    <r>
      <rPr>
        <b val="true"/>
        <sz val="10"/>
        <rFont val="Arial"/>
        <family val="0"/>
        <charset val="1"/>
      </rPr>
      <t xml:space="preserve">★NPV</t>
    </r>
    <r>
      <rPr>
        <b val="true"/>
        <sz val="10"/>
        <rFont val="WenQuanYi Zen Hei"/>
        <family val="2"/>
      </rPr>
      <t xml:space="preserve">（折現率＝假設表）</t>
    </r>
  </si>
  <si>
    <t xml:space="preserve">月現金流折現；更換與殘值於期末</t>
  </si>
  <si>
    <t xml:space="preserve">★回本月數（不含更換）</t>
  </si>
  <si>
    <r>
      <rPr>
        <b val="true"/>
        <sz val="10"/>
        <rFont val="WenQuanYi Zen Hei"/>
        <family val="2"/>
      </rPr>
      <t xml:space="preserve">★相對 </t>
    </r>
    <r>
      <rPr>
        <b val="true"/>
        <sz val="10"/>
        <rFont val="Arial"/>
        <family val="0"/>
        <charset val="1"/>
      </rPr>
      <t xml:space="preserve">M0</t>
    </r>
    <r>
      <rPr>
        <b val="true"/>
        <sz val="10"/>
        <rFont val="WenQuanYi Zen Hei"/>
        <family val="2"/>
      </rPr>
      <t xml:space="preserve">：每套 </t>
    </r>
    <r>
      <rPr>
        <b val="true"/>
        <sz val="10"/>
        <rFont val="Arial"/>
        <family val="0"/>
        <charset val="1"/>
      </rPr>
      <t xml:space="preserve">4 </t>
    </r>
    <r>
      <rPr>
        <b val="true"/>
        <sz val="10"/>
        <rFont val="WenQuanYi Zen Hei"/>
        <family val="2"/>
      </rPr>
      <t xml:space="preserve">年毛利（</t>
    </r>
    <r>
      <rPr>
        <b val="true"/>
        <sz val="10"/>
        <rFont val="Arial"/>
        <family val="0"/>
        <charset val="1"/>
      </rPr>
      <t xml:space="preserve">M0 </t>
    </r>
    <r>
      <rPr>
        <b val="true"/>
        <sz val="10"/>
        <rFont val="WenQuanYi Zen Hei"/>
        <family val="2"/>
      </rPr>
      <t xml:space="preserve">毛利 − 電池讓價毛利 </t>
    </r>
    <r>
      <rPr>
        <b val="true"/>
        <sz val="10"/>
        <rFont val="Arial"/>
        <family val="0"/>
        <charset val="1"/>
      </rPr>
      <t xml:space="preserve">+ BaaS </t>
    </r>
    <r>
      <rPr>
        <b val="true"/>
        <sz val="10"/>
        <rFont val="WenQuanYi Zen Hei"/>
        <family val="2"/>
      </rPr>
      <t xml:space="preserve">毛利）</t>
    </r>
  </si>
  <si>
    <r>
      <rPr>
        <b val="true"/>
        <sz val="10"/>
        <rFont val="Arial"/>
        <family val="0"/>
        <charset val="1"/>
      </rPr>
      <t xml:space="preserve">★M2 vs M0 </t>
    </r>
    <r>
      <rPr>
        <b val="true"/>
        <sz val="10"/>
        <rFont val="WenQuanYi Zen Hei"/>
        <family val="2"/>
      </rPr>
      <t xml:space="preserve">增幅</t>
    </r>
  </si>
  <si>
    <r>
      <rPr>
        <b val="true"/>
        <sz val="11"/>
        <color rgb="FFFFFFFF"/>
        <rFont val="Arial"/>
        <family val="0"/>
        <charset val="1"/>
      </rPr>
      <t xml:space="preserve">M3</t>
    </r>
    <r>
      <rPr>
        <b val="true"/>
        <sz val="11"/>
        <color rgb="FFFFFFFF"/>
        <rFont val="WenQuanYi Zen Hei"/>
        <family val="2"/>
      </rPr>
      <t xml:space="preserve">｜三電硬體租賃 </t>
    </r>
    <r>
      <rPr>
        <b val="true"/>
        <sz val="11"/>
        <color rgb="FFFFFFFF"/>
        <rFont val="Arial"/>
        <family val="0"/>
        <charset val="1"/>
      </rPr>
      <t xml:space="preserve">HaaS</t>
    </r>
    <r>
      <rPr>
        <b val="true"/>
        <sz val="11"/>
        <color rgb="FFFFFFFF"/>
        <rFont val="WenQuanYi Zen Hei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B2B </t>
    </r>
    <r>
      <rPr>
        <b val="true"/>
        <sz val="11"/>
        <color rgb="FFFFFFFF"/>
        <rFont val="WenQuanYi Zen Hei"/>
        <family val="2"/>
      </rPr>
      <t xml:space="preserve">車隊：外送 </t>
    </r>
    <r>
      <rPr>
        <b val="true"/>
        <sz val="11"/>
        <color rgb="FFFFFFFF"/>
        <rFont val="Arial"/>
        <family val="0"/>
        <charset val="1"/>
      </rPr>
      <t xml:space="preserve">/ cargo / </t>
    </r>
    <r>
      <rPr>
        <b val="true"/>
        <sz val="11"/>
        <color rgb="FFFFFFFF"/>
        <rFont val="WenQuanYi Zen Hei"/>
        <family val="2"/>
      </rPr>
      <t xml:space="preserve">共享；含維護、遠端診斷）</t>
    </r>
  </si>
  <si>
    <t xml:space="preserve">月租金（三電系統部分）</t>
  </si>
  <si>
    <r>
      <rPr>
        <sz val="10"/>
        <color rgb="FF000000"/>
        <rFont val="WenQuanYi Zen Hei"/>
        <family val="2"/>
      </rPr>
      <t xml:space="preserve">假設：</t>
    </r>
    <r>
      <rPr>
        <sz val="10"/>
        <color rgb="FF000000"/>
        <rFont val="Arial"/>
        <family val="0"/>
        <charset val="1"/>
      </rPr>
      <t xml:space="preserve">Zoomo </t>
    </r>
    <r>
      <rPr>
        <sz val="10"/>
        <color rgb="FF000000"/>
        <rFont val="WenQuanYi Zen Hei"/>
        <family val="2"/>
      </rPr>
      <t xml:space="preserve">整車 </t>
    </r>
    <r>
      <rPr>
        <sz val="10"/>
        <color rgb="FF000000"/>
        <rFont val="Arial"/>
        <family val="0"/>
        <charset val="1"/>
      </rPr>
      <t xml:space="preserve">B2B </t>
    </r>
    <r>
      <rPr>
        <sz val="10"/>
        <color rgb="FF000000"/>
        <rFont val="WenQuanYi Zen Hei"/>
        <family val="2"/>
      </rPr>
      <t xml:space="preserve">租金 </t>
    </r>
    <r>
      <rPr>
        <sz val="10"/>
        <color rgb="FF000000"/>
        <rFont val="Arial"/>
        <family val="0"/>
        <charset val="1"/>
      </rPr>
      <t xml:space="preserve">US$49/</t>
    </r>
    <r>
      <rPr>
        <sz val="10"/>
        <color rgb="FF000000"/>
        <rFont val="WenQuanYi Zen Hei"/>
        <family val="2"/>
      </rPr>
      <t xml:space="preserve">週（≈</t>
    </r>
    <r>
      <rPr>
        <sz val="10"/>
        <color rgb="FF000000"/>
        <rFont val="Arial"/>
        <family val="0"/>
        <charset val="1"/>
      </rPr>
      <t xml:space="preserve">US$210/</t>
    </r>
    <r>
      <rPr>
        <sz val="10"/>
        <color rgb="FF000000"/>
        <rFont val="WenQuanYi Zen Hei"/>
        <family val="2"/>
      </rPr>
      <t xml:space="preserve">月），三電系統約佔整車價值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</si>
  <si>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10"/>
        <color rgb="FF000000"/>
        <rFont val="WenQuanYi Zen Hei"/>
        <family val="2"/>
      </rPr>
      <t xml:space="preserve">車隊營運商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融資夥伴分潤（</t>
    </r>
    <r>
      <rPr>
        <sz val="10"/>
        <color rgb="FF000000"/>
        <rFont val="Arial"/>
        <family val="0"/>
        <charset val="1"/>
      </rPr>
      <t xml:space="preserve">% of </t>
    </r>
    <r>
      <rPr>
        <sz val="10"/>
        <color rgb="FF000000"/>
        <rFont val="WenQuanYi Zen Hei"/>
        <family val="2"/>
      </rPr>
      <t xml:space="preserve">月租）</t>
    </r>
  </si>
  <si>
    <r>
      <rPr>
        <sz val="10"/>
        <color rgb="FF000000"/>
        <rFont val="WenQuanYi Zen Hei"/>
        <family val="2"/>
      </rPr>
      <t xml:space="preserve">假設：</t>
    </r>
    <r>
      <rPr>
        <sz val="10"/>
        <color rgb="FF000000"/>
        <rFont val="Arial"/>
        <family val="0"/>
        <charset val="1"/>
      </rPr>
      <t xml:space="preserve">B2B </t>
    </r>
    <r>
      <rPr>
        <sz val="10"/>
        <color rgb="FF000000"/>
        <rFont val="WenQuanYi Zen Hei"/>
        <family val="2"/>
      </rPr>
      <t xml:space="preserve">直供，租賃夥伴承擔融資與收款，分潤 </t>
    </r>
    <r>
      <rPr>
        <sz val="10"/>
        <color rgb="FF000000"/>
        <rFont val="Arial"/>
        <family val="0"/>
        <charset val="1"/>
      </rPr>
      <t xml:space="preserve">25%</t>
    </r>
  </si>
  <si>
    <t xml:space="preserve">合約期</t>
  </si>
  <si>
    <r>
      <rPr>
        <sz val="10"/>
        <color rgb="FF000000"/>
        <rFont val="WenQuanYi Zen Hei"/>
        <family val="2"/>
      </rPr>
      <t xml:space="preserve">維護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耗材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遠端診斷（每月）</t>
    </r>
  </si>
  <si>
    <t xml:space="preserve">假設：含電池健康監控、韌體、備品</t>
  </si>
  <si>
    <r>
      <rPr>
        <sz val="10"/>
        <color rgb="FF000000"/>
        <rFont val="WenQuanYi Zen Hei"/>
        <family val="2"/>
      </rPr>
      <t xml:space="preserve">失竊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毀損損失率（年）</t>
    </r>
  </si>
  <si>
    <r>
      <rPr>
        <sz val="10"/>
        <color rgb="FF000000"/>
        <rFont val="WenQuanYi Zen Hei"/>
        <family val="2"/>
      </rPr>
      <t xml:space="preserve">外部基準：歐洲 </t>
    </r>
    <r>
      <rPr>
        <sz val="10"/>
        <color rgb="FF000000"/>
        <rFont val="Arial"/>
        <family val="0"/>
        <charset val="1"/>
      </rPr>
      <t xml:space="preserve">e-bike </t>
    </r>
    <r>
      <rPr>
        <sz val="10"/>
        <color rgb="FF000000"/>
        <rFont val="WenQuanYi Zen Hei"/>
        <family val="2"/>
      </rPr>
      <t xml:space="preserve">失竊暴露率 </t>
    </r>
    <r>
      <rPr>
        <sz val="10"/>
        <color rgb="FF000000"/>
        <rFont val="Arial"/>
        <family val="0"/>
        <charset val="1"/>
      </rPr>
      <t xml:space="preserve">11–16%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GfK</t>
    </r>
    <r>
      <rPr>
        <sz val="10"/>
        <color rgb="FF000000"/>
        <rFont val="WenQuanYi Zen Hei"/>
        <family val="2"/>
      </rPr>
      <t xml:space="preserve">），車隊有 </t>
    </r>
    <r>
      <rPr>
        <sz val="10"/>
        <color rgb="FF000000"/>
        <rFont val="Arial"/>
        <family val="0"/>
        <charset val="1"/>
      </rPr>
      <t xml:space="preserve">GPS/</t>
    </r>
    <r>
      <rPr>
        <sz val="10"/>
        <color rgb="FF000000"/>
        <rFont val="WenQuanYi Zen Hei"/>
        <family val="2"/>
      </rPr>
      <t xml:space="preserve">鎖定約 </t>
    </r>
    <r>
      <rPr>
        <sz val="10"/>
        <color rgb="FF000000"/>
        <rFont val="Arial"/>
        <family val="0"/>
        <charset val="1"/>
      </rPr>
      <t xml:space="preserve">3–6%</t>
    </r>
  </si>
  <si>
    <t xml:space="preserve">期末殘值</t>
  </si>
  <si>
    <r>
      <rPr>
        <sz val="10"/>
        <color rgb="FF000000"/>
        <rFont val="WenQuanYi Zen Hei"/>
        <family val="2"/>
      </rPr>
      <t xml:space="preserve">假設：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WenQuanYi Zen Hei"/>
        <family val="2"/>
      </rPr>
      <t xml:space="preserve">個月後翻新再租或二手售出</t>
    </r>
  </si>
  <si>
    <r>
      <rPr>
        <sz val="10"/>
        <color rgb="FF000000"/>
        <rFont val="WenQuanYi Zen Hei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×(1+</t>
    </r>
    <r>
      <rPr>
        <sz val="10"/>
        <color rgb="FF000000"/>
        <rFont val="WenQuanYi Zen Hei"/>
        <family val="2"/>
      </rPr>
      <t xml:space="preserve">失竊率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) − </t>
    </r>
    <r>
      <rPr>
        <sz val="10"/>
        <color rgb="FF000000"/>
        <rFont val="WenQuanYi Zen Hei"/>
        <family val="2"/>
      </rPr>
      <t xml:space="preserve">殘值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維護</t>
    </r>
  </si>
  <si>
    <t xml:space="preserve">★回本月數</t>
  </si>
  <si>
    <r>
      <rPr>
        <b val="true"/>
        <sz val="10"/>
        <rFont val="Arial"/>
        <family val="0"/>
        <charset val="1"/>
      </rPr>
      <t xml:space="preserve">★M3 vs M0 </t>
    </r>
    <r>
      <rPr>
        <b val="true"/>
        <sz val="10"/>
        <rFont val="WenQuanYi Zen Hei"/>
        <family val="2"/>
      </rPr>
      <t xml:space="preserve">一次性毛利 倍數</t>
    </r>
  </si>
  <si>
    <t xml:space="preserve">x</t>
  </si>
  <si>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WenQuanYi Zen Hei"/>
        <family val="2"/>
      </rPr>
      <t xml:space="preserve">個月毛利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一次性毛利</t>
    </r>
  </si>
  <si>
    <r>
      <rPr>
        <sz val="10"/>
        <color rgb="FF000000"/>
        <rFont val="WenQuanYi Zen Hei"/>
        <family val="2"/>
      </rPr>
      <t xml:space="preserve">每套資本占用（相對 </t>
    </r>
    <r>
      <rPr>
        <sz val="10"/>
        <color rgb="FF000000"/>
        <rFont val="Arial"/>
        <family val="0"/>
        <charset val="1"/>
      </rPr>
      <t xml:space="preserve">M0 </t>
    </r>
    <r>
      <rPr>
        <sz val="10"/>
        <color rgb="FF000000"/>
        <rFont val="WenQuanYi Zen Hei"/>
        <family val="2"/>
      </rPr>
      <t xml:space="preserve">立即回收）</t>
    </r>
  </si>
  <si>
    <r>
      <rPr>
        <sz val="10"/>
        <color rgb="FF000000"/>
        <rFont val="Arial"/>
        <family val="0"/>
        <charset val="1"/>
      </rPr>
      <t xml:space="preserve">M3 </t>
    </r>
    <r>
      <rPr>
        <sz val="10"/>
        <color rgb="FF000000"/>
        <rFont val="WenQuanYi Zen Hei"/>
        <family val="2"/>
      </rPr>
      <t xml:space="preserve">需自有或第三方融資</t>
    </r>
  </si>
  <si>
    <r>
      <rPr>
        <b val="true"/>
        <sz val="11"/>
        <color rgb="FFFFFFFF"/>
        <rFont val="WenQuanYi Zen Hei"/>
        <family val="2"/>
      </rPr>
      <t xml:space="preserve">模式比較（每套三電系統，合約期／</t>
    </r>
    <r>
      <rPr>
        <b val="true"/>
        <sz val="11"/>
        <color rgb="FFFFFFFF"/>
        <rFont val="Arial"/>
        <family val="0"/>
        <charset val="1"/>
      </rPr>
      <t xml:space="preserve">4 </t>
    </r>
    <r>
      <rPr>
        <b val="true"/>
        <sz val="11"/>
        <color rgb="FFFFFFFF"/>
        <rFont val="WenQuanYi Zen Hei"/>
        <family val="2"/>
      </rPr>
      <t xml:space="preserve">年）</t>
    </r>
  </si>
  <si>
    <t xml:space="preserve">模式</t>
  </si>
  <si>
    <t xml:space="preserve">期間收入</t>
  </si>
  <si>
    <t xml:space="preserve">期間毛利</t>
  </si>
  <si>
    <r>
      <rPr>
        <b val="true"/>
        <sz val="10"/>
        <rFont val="Arial"/>
        <family val="0"/>
        <charset val="1"/>
      </rPr>
      <t xml:space="preserve">vs M0 </t>
    </r>
    <r>
      <rPr>
        <b val="true"/>
        <sz val="10"/>
        <rFont val="WenQuanYi Zen Hei"/>
        <family val="2"/>
      </rPr>
      <t xml:space="preserve">毛利</t>
    </r>
  </si>
  <si>
    <t xml:space="preserve">前期資本占用</t>
  </si>
  <si>
    <t xml:space="preserve">主要風險</t>
  </si>
  <si>
    <r>
      <rPr>
        <b val="true"/>
        <sz val="10"/>
        <rFont val="Arial"/>
        <family val="0"/>
        <charset val="1"/>
      </rPr>
      <t xml:space="preserve">M0 </t>
    </r>
    <r>
      <rPr>
        <b val="true"/>
        <sz val="10"/>
        <rFont val="WenQuanYi Zen Hei"/>
        <family val="2"/>
      </rPr>
      <t xml:space="preserve">一次性銷售</t>
    </r>
  </si>
  <si>
    <r>
      <rPr>
        <sz val="10"/>
        <color rgb="FF000000"/>
        <rFont val="WenQuanYi Zen Hei"/>
        <family val="2"/>
      </rPr>
      <t xml:space="preserve">價格戰（八方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中系）、無持續收入</t>
    </r>
  </si>
  <si>
    <r>
      <rPr>
        <b val="true"/>
        <sz val="10"/>
        <rFont val="Arial"/>
        <family val="0"/>
        <charset val="1"/>
      </rPr>
      <t xml:space="preserve">M1 </t>
    </r>
    <r>
      <rPr>
        <b val="true"/>
        <sz val="10"/>
        <rFont val="WenQuanYi Zen Hei"/>
        <family val="2"/>
      </rPr>
      <t xml:space="preserve">軟體訂閱</t>
    </r>
  </si>
  <si>
    <r>
      <rPr>
        <sz val="10"/>
        <color rgb="FF000000"/>
        <rFont val="WenQuanYi Zen Hei"/>
        <family val="2"/>
      </rPr>
      <t xml:space="preserve">轉換率低、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WenQuanYi Zen Hei"/>
        <family val="2"/>
      </rPr>
      <t xml:space="preserve">生態需長期投入、需自有品牌或 </t>
    </r>
    <r>
      <rPr>
        <sz val="10"/>
        <color rgb="FF000000"/>
        <rFont val="Arial"/>
        <family val="0"/>
        <charset val="1"/>
      </rPr>
      <t xml:space="preserve">OEM </t>
    </r>
    <r>
      <rPr>
        <sz val="10"/>
        <color rgb="FF000000"/>
        <rFont val="WenQuanYi Zen Hei"/>
        <family val="2"/>
      </rPr>
      <t xml:space="preserve">分潤</t>
    </r>
  </si>
  <si>
    <r>
      <rPr>
        <b val="true"/>
        <sz val="10"/>
        <rFont val="Arial"/>
        <family val="0"/>
        <charset val="1"/>
      </rPr>
      <t xml:space="preserve">M2 </t>
    </r>
    <r>
      <rPr>
        <b val="true"/>
        <sz val="10"/>
        <rFont val="WenQuanYi Zen Hei"/>
        <family val="2"/>
      </rPr>
      <t xml:space="preserve">電池訂閱</t>
    </r>
  </si>
  <si>
    <r>
      <rPr>
        <sz val="10"/>
        <color rgb="FF000000"/>
        <rFont val="WenQuanYi Zen Hei"/>
        <family val="2"/>
      </rPr>
      <t xml:space="preserve">電池殘值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更換率、逆物流、電池法規、需通路配合</t>
    </r>
  </si>
  <si>
    <r>
      <rPr>
        <b val="true"/>
        <sz val="10"/>
        <rFont val="Arial"/>
        <family val="0"/>
        <charset val="1"/>
      </rPr>
      <t xml:space="preserve">M3 </t>
    </r>
    <r>
      <rPr>
        <b val="true"/>
        <sz val="10"/>
        <rFont val="WenQuanYi Zen Hei"/>
        <family val="2"/>
      </rPr>
      <t xml:space="preserve">硬體租賃</t>
    </r>
  </si>
  <si>
    <t xml:space="preserve">車隊客戶集中、失竊、融資成本、需服務網絡</t>
  </si>
  <si>
    <t xml:space="preserve">敏感度分析（公式即時連動）</t>
  </si>
  <si>
    <r>
      <rPr>
        <b val="true"/>
        <sz val="10"/>
        <rFont val="Arial"/>
        <family val="0"/>
        <charset val="1"/>
      </rPr>
      <t xml:space="preserve">M2 </t>
    </r>
    <r>
      <rPr>
        <b val="true"/>
        <sz val="10"/>
        <rFont val="WenQuanYi Zen Hei"/>
        <family val="2"/>
      </rPr>
      <t xml:space="preserve">電池訂閱 </t>
    </r>
    <r>
      <rPr>
        <b val="true"/>
        <sz val="10"/>
        <rFont val="Arial"/>
        <family val="0"/>
        <charset val="1"/>
      </rPr>
      <t xml:space="preserve">NPV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NT$</t>
    </r>
    <r>
      <rPr>
        <b val="true"/>
        <sz val="10"/>
        <rFont val="WenQuanYi Zen Hei"/>
        <family val="2"/>
      </rPr>
      <t xml:space="preserve">）：月費（列）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電池成本（欄）</t>
    </r>
  </si>
  <si>
    <r>
      <rPr>
        <b val="true"/>
        <sz val="10"/>
        <rFont val="WenQuanYi Zen Hei"/>
        <family val="2"/>
      </rPr>
      <t xml:space="preserve">月費 </t>
    </r>
    <r>
      <rPr>
        <b val="true"/>
        <sz val="10"/>
        <rFont val="Arial"/>
        <family val="0"/>
        <charset val="1"/>
      </rPr>
      <t xml:space="preserve">\ </t>
    </r>
    <r>
      <rPr>
        <b val="true"/>
        <sz val="10"/>
        <rFont val="WenQuanYi Zen Hei"/>
        <family val="2"/>
      </rPr>
      <t xml:space="preserve">電池成本</t>
    </r>
  </si>
  <si>
    <r>
      <rPr>
        <b val="true"/>
        <sz val="10"/>
        <rFont val="Arial"/>
        <family val="0"/>
        <charset val="1"/>
      </rPr>
      <t xml:space="preserve">M3 </t>
    </r>
    <r>
      <rPr>
        <b val="true"/>
        <sz val="10"/>
        <rFont val="WenQuanYi Zen Hei"/>
        <family val="2"/>
      </rPr>
      <t xml:space="preserve">硬體租賃 </t>
    </r>
    <r>
      <rPr>
        <b val="true"/>
        <sz val="10"/>
        <rFont val="Arial"/>
        <family val="0"/>
        <charset val="1"/>
      </rPr>
      <t xml:space="preserve">NPV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NT$</t>
    </r>
    <r>
      <rPr>
        <b val="true"/>
        <sz val="10"/>
        <rFont val="WenQuanYi Zen Hei"/>
        <family val="2"/>
      </rPr>
      <t xml:space="preserve">）：月租（列）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期末殘值（欄）</t>
    </r>
  </si>
  <si>
    <r>
      <rPr>
        <b val="true"/>
        <sz val="10"/>
        <rFont val="WenQuanYi Zen Hei"/>
        <family val="2"/>
      </rPr>
      <t xml:space="preserve">月租 </t>
    </r>
    <r>
      <rPr>
        <b val="true"/>
        <sz val="10"/>
        <rFont val="Arial"/>
        <family val="0"/>
        <charset val="1"/>
      </rPr>
      <t xml:space="preserve">\ </t>
    </r>
    <r>
      <rPr>
        <b val="true"/>
        <sz val="10"/>
        <rFont val="WenQuanYi Zen Hei"/>
        <family val="2"/>
      </rPr>
      <t xml:space="preserve">殘值</t>
    </r>
  </si>
  <si>
    <r>
      <rPr>
        <b val="true"/>
        <sz val="10"/>
        <rFont val="Arial"/>
        <family val="0"/>
        <charset val="1"/>
      </rPr>
      <t xml:space="preserve">M1 </t>
    </r>
    <r>
      <rPr>
        <b val="true"/>
        <sz val="10"/>
        <rFont val="WenQuanYi Zen Hei"/>
        <family val="2"/>
      </rPr>
      <t xml:space="preserve">軟體訂閱 每套淨增量毛利（</t>
    </r>
    <r>
      <rPr>
        <b val="true"/>
        <sz val="10"/>
        <rFont val="Arial"/>
        <family val="0"/>
        <charset val="1"/>
      </rPr>
      <t xml:space="preserve">NT$</t>
    </r>
    <r>
      <rPr>
        <b val="true"/>
        <sz val="10"/>
        <rFont val="WenQuanYi Zen Hei"/>
        <family val="2"/>
      </rPr>
      <t xml:space="preserve">）：轉換率（列）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年費（欄）</t>
    </r>
  </si>
  <si>
    <r>
      <rPr>
        <b val="true"/>
        <sz val="10"/>
        <rFont val="WenQuanYi Zen Hei"/>
        <family val="2"/>
      </rPr>
      <t xml:space="preserve">轉換率 </t>
    </r>
    <r>
      <rPr>
        <b val="true"/>
        <sz val="10"/>
        <rFont val="Arial"/>
        <family val="0"/>
        <charset val="1"/>
      </rPr>
      <t xml:space="preserve">\ </t>
    </r>
    <r>
      <rPr>
        <b val="true"/>
        <sz val="10"/>
        <rFont val="WenQuanYi Zen Hei"/>
        <family val="2"/>
      </rPr>
      <t xml:space="preserve">年費</t>
    </r>
  </si>
  <si>
    <r>
      <rPr>
        <b val="true"/>
        <sz val="10"/>
        <rFont val="WenQuanYi Zen Hei"/>
        <family val="2"/>
      </rPr>
      <t xml:space="preserve">架構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WenQuanYi Zen Hei"/>
        <family val="2"/>
      </rPr>
      <t xml:space="preserve">電池成本（</t>
    </r>
    <r>
      <rPr>
        <b val="true"/>
        <sz val="10"/>
        <rFont val="Arial"/>
        <family val="0"/>
        <charset val="1"/>
      </rPr>
      <t xml:space="preserve">NT$</t>
    </r>
    <r>
      <rPr>
        <b val="true"/>
        <sz val="10"/>
        <rFont val="WenQuanYi Zen Hei"/>
        <family val="2"/>
      </rPr>
      <t xml:space="preserve">）：電芯單價 </t>
    </r>
    <r>
      <rPr>
        <b val="true"/>
        <sz val="10"/>
        <rFont val="Arial"/>
        <family val="0"/>
        <charset val="1"/>
      </rPr>
      <t xml:space="preserve">NT$/Wh</t>
    </r>
    <r>
      <rPr>
        <b val="true"/>
        <sz val="10"/>
        <rFont val="WenQuanYi Zen Hei"/>
        <family val="2"/>
      </rPr>
      <t xml:space="preserve">（列）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容量 </t>
    </r>
    <r>
      <rPr>
        <b val="true"/>
        <sz val="10"/>
        <rFont val="Arial"/>
        <family val="0"/>
        <charset val="1"/>
      </rPr>
      <t xml:space="preserve">Wh</t>
    </r>
    <r>
      <rPr>
        <b val="true"/>
        <sz val="10"/>
        <rFont val="WenQuanYi Zen Hei"/>
        <family val="2"/>
      </rPr>
      <t xml:space="preserve">（欄）</t>
    </r>
  </si>
  <si>
    <t xml:space="preserve">NT$/Wh \ Wh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</si>
</sst>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%;\(0.0%\);\-"/>
    <numFmt numFmtId="167" formatCode="0.00\x"/>
    <numFmt numFmtId="168" formatCode="0.00"/>
    <numFmt numFmtId="169" formatCode="0"/>
    <numFmt numFmtId="170" formatCode="#,##0.00"/>
    <numFmt numFmtId="171" formatCode="#,##0.0;\(#,##0.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i val="true"/>
      <sz val="9"/>
      <name val="WenQuanYi Zen Hei"/>
      <family val="2"/>
    </font>
    <font>
      <i val="true"/>
      <sz val="9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WenQuanYi Zen Hei"/>
      <family val="2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2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6" t="n">
        <f aca="false">BOM分析!$B$36</f>
        <v>13622.88</v>
      </c>
      <c r="C5" s="6" t="n">
        <f aca="false">BOM分析!$C$36</f>
        <v>16801.65</v>
      </c>
      <c r="D5" s="6" t="n">
        <f aca="false">BOM分析!$D$36</f>
        <v>36551.465</v>
      </c>
    </row>
    <row r="6" customFormat="false" ht="15" hidden="false" customHeight="false" outlineLevel="0" collapsed="false">
      <c r="A6" s="5" t="s">
        <v>7</v>
      </c>
      <c r="B6" s="6" t="n">
        <f aca="false">BOM分析!$B$37</f>
        <v>18920.6666666667</v>
      </c>
      <c r="C6" s="6" t="n">
        <f aca="false">BOM分析!$C$37</f>
        <v>23335.625</v>
      </c>
      <c r="D6" s="6" t="n">
        <f aca="false">BOM分析!$D$37</f>
        <v>50765.9236111111</v>
      </c>
    </row>
    <row r="7" customFormat="false" ht="15" hidden="false" customHeight="false" outlineLevel="0" collapsed="false">
      <c r="A7" s="5" t="s">
        <v>8</v>
      </c>
      <c r="B7" s="6" t="n">
        <f aca="false">BOM分析!$B$38</f>
        <v>610.344086021505</v>
      </c>
      <c r="C7" s="6" t="n">
        <f aca="false">BOM分析!$C$38</f>
        <v>752.762096774194</v>
      </c>
      <c r="D7" s="6" t="n">
        <f aca="false">BOM分析!$D$38</f>
        <v>1637.6104390681</v>
      </c>
    </row>
    <row r="8" customFormat="false" ht="15" hidden="false" customHeight="false" outlineLevel="0" collapsed="false">
      <c r="A8" s="5" t="s">
        <v>9</v>
      </c>
      <c r="B8" s="6" t="n">
        <f aca="false">BOM分析!$B$39</f>
        <v>8680</v>
      </c>
      <c r="C8" s="6" t="n">
        <f aca="false">BOM分析!$C$39</f>
        <v>15190</v>
      </c>
      <c r="D8" s="6" t="n">
        <f aca="false">BOM分析!$D$39</f>
        <v>33120</v>
      </c>
    </row>
    <row r="9" customFormat="false" ht="15" hidden="false" customHeight="false" outlineLevel="0" collapsed="false">
      <c r="A9" s="5" t="s">
        <v>10</v>
      </c>
      <c r="B9" s="7" t="n">
        <f aca="false">BOM分析!$B$21/BOM分析!$B$36</f>
        <v>0.240037348930623</v>
      </c>
      <c r="C9" s="7" t="n">
        <f aca="false">BOM分析!$C$21/BOM分析!$C$36</f>
        <v>0.272592275163451</v>
      </c>
      <c r="D9" s="7" t="n">
        <f aca="false">BOM分析!$D$21/BOM分析!$D$36</f>
        <v>0.364417677923443</v>
      </c>
    </row>
    <row r="10" customFormat="false" ht="15" hidden="false" customHeight="false" outlineLevel="0" collapsed="false">
      <c r="A10" s="5" t="s">
        <v>11</v>
      </c>
      <c r="B10" s="7" t="n">
        <f aca="false">BOM分析!$B$13/BOM分析!$B$36</f>
        <v>0.206050409311394</v>
      </c>
      <c r="C10" s="7" t="n">
        <f aca="false">BOM分析!$C$13/BOM分析!$C$36</f>
        <v>0.298780179327626</v>
      </c>
      <c r="D10" s="7" t="n">
        <f aca="false">BOM分析!$D$13/BOM分析!$D$36</f>
        <v>0.393965057214533</v>
      </c>
    </row>
    <row r="12" customFormat="false" ht="15" hidden="false" customHeight="false" outlineLevel="0" collapsed="false">
      <c r="A12" s="3" t="s">
        <v>12</v>
      </c>
      <c r="B12" s="3" t="s">
        <v>13</v>
      </c>
      <c r="C12" s="3" t="s">
        <v>14</v>
      </c>
      <c r="D12" s="4" t="s">
        <v>15</v>
      </c>
      <c r="E12" s="3" t="s">
        <v>16</v>
      </c>
    </row>
    <row r="13" customFormat="false" ht="15" hidden="false" customHeight="false" outlineLevel="0" collapsed="false">
      <c r="A13" s="8" t="str">
        <f aca="false">訂閱模式!$A$69</f>
        <v>M0 一次性銷售</v>
      </c>
      <c r="B13" s="6" t="n">
        <f aca="false">訂閱模式!$B$69</f>
        <v>23335.625</v>
      </c>
      <c r="C13" s="6" t="n">
        <f aca="false">訂閱模式!$C$69</f>
        <v>7133.975</v>
      </c>
      <c r="D13" s="9" t="n">
        <f aca="false">訂閱模式!$D$69</f>
        <v>1</v>
      </c>
      <c r="E13" s="6" t="n">
        <f aca="false">訂閱模式!$E$69</f>
        <v>0</v>
      </c>
    </row>
    <row r="14" customFormat="false" ht="15" hidden="false" customHeight="false" outlineLevel="0" collapsed="false">
      <c r="A14" s="8" t="str">
        <f aca="false">訂閱模式!$A$70</f>
        <v>M1 軟體訂閱</v>
      </c>
      <c r="B14" s="6" t="n">
        <f aca="false">訂閱模式!$B$70</f>
        <v>24487.337</v>
      </c>
      <c r="C14" s="6" t="n">
        <f aca="false">訂閱模式!$C$70</f>
        <v>7352.9302</v>
      </c>
      <c r="D14" s="9" t="n">
        <f aca="false">訂閱模式!$D$70</f>
        <v>1.03069189336941</v>
      </c>
      <c r="E14" s="6" t="n">
        <f aca="false">訂閱模式!$E$70</f>
        <v>1104</v>
      </c>
    </row>
    <row r="15" customFormat="false" ht="15" hidden="false" customHeight="false" outlineLevel="0" collapsed="false">
      <c r="A15" s="8" t="str">
        <f aca="false">訂閱模式!$A$71</f>
        <v>M2 電池訂閱</v>
      </c>
      <c r="B15" s="6" t="n">
        <f aca="false">訂閱模式!$B$71</f>
        <v>39326.1938888889</v>
      </c>
      <c r="C15" s="6" t="n">
        <f aca="false">訂閱模式!$C$71</f>
        <v>19665.5934888889</v>
      </c>
      <c r="D15" s="9" t="n">
        <f aca="false">訂閱模式!$D$71</f>
        <v>2.75661093414105</v>
      </c>
      <c r="E15" s="6" t="n">
        <f aca="false">訂閱模式!$E$71</f>
        <v>4580</v>
      </c>
    </row>
    <row r="16" customFormat="false" ht="15" hidden="false" customHeight="false" outlineLevel="0" collapsed="false">
      <c r="A16" s="8" t="str">
        <f aca="false">訂閱模式!$A$72</f>
        <v>M3 硬體租賃</v>
      </c>
      <c r="B16" s="6" t="n">
        <f aca="false">訂閱模式!$B$72</f>
        <v>32400</v>
      </c>
      <c r="C16" s="6" t="n">
        <f aca="false">訂閱模式!$C$72</f>
        <v>9622.3995</v>
      </c>
      <c r="D16" s="9" t="n">
        <f aca="false">訂閱模式!$D$72</f>
        <v>1.34881317918832</v>
      </c>
      <c r="E16" s="6" t="n">
        <f aca="false">訂閱模式!$E$72</f>
        <v>16801.65</v>
      </c>
    </row>
    <row r="18" customFormat="false" ht="15" hidden="false" customHeight="false" outlineLevel="0" collapsed="false">
      <c r="A18" s="10" t="s">
        <v>17</v>
      </c>
    </row>
    <row r="19" customFormat="false" ht="31.5" hidden="false" customHeight="true" outlineLevel="0" collapsed="false">
      <c r="A19" s="11" t="s">
        <v>18</v>
      </c>
      <c r="B19" s="11"/>
      <c r="C19" s="11"/>
      <c r="D19" s="11"/>
      <c r="E19" s="11"/>
    </row>
    <row r="20" customFormat="false" ht="31.5" hidden="false" customHeight="true" outlineLevel="0" collapsed="false">
      <c r="A20" s="11" t="s">
        <v>19</v>
      </c>
      <c r="B20" s="11"/>
      <c r="C20" s="11"/>
      <c r="D20" s="11"/>
      <c r="E20" s="11"/>
    </row>
    <row r="21" customFormat="false" ht="31.5" hidden="false" customHeight="true" outlineLevel="0" collapsed="false">
      <c r="A21" s="11" t="s">
        <v>20</v>
      </c>
      <c r="B21" s="11"/>
      <c r="C21" s="11"/>
      <c r="D21" s="11"/>
      <c r="E21" s="11"/>
    </row>
    <row r="22" customFormat="false" ht="31.5" hidden="false" customHeight="true" outlineLevel="0" collapsed="false">
      <c r="A22" s="11" t="s">
        <v>21</v>
      </c>
      <c r="B22" s="11"/>
      <c r="C22" s="11"/>
      <c r="D22" s="11"/>
      <c r="E22" s="11"/>
    </row>
  </sheetData>
  <mergeCells count="4">
    <mergeCell ref="A19:E19"/>
    <mergeCell ref="A20:E20"/>
    <mergeCell ref="A21:E21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90"/>
  </cols>
  <sheetData>
    <row r="1" customFormat="false" ht="19.4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15" hidden="false" customHeight="false" outlineLevel="0" collapsed="false">
      <c r="A4" s="3" t="s">
        <v>24</v>
      </c>
      <c r="B4" s="3" t="s">
        <v>25</v>
      </c>
      <c r="C4" s="3" t="s">
        <v>26</v>
      </c>
      <c r="D4" s="3" t="s">
        <v>27</v>
      </c>
    </row>
    <row r="5" customFormat="false" ht="15" hidden="false" customHeight="false" outlineLevel="0" collapsed="false">
      <c r="A5" s="12" t="s">
        <v>28</v>
      </c>
      <c r="B5" s="13" t="n">
        <v>31</v>
      </c>
      <c r="C5" s="14" t="s">
        <v>29</v>
      </c>
      <c r="D5" s="15" t="s">
        <v>30</v>
      </c>
    </row>
    <row r="6" customFormat="false" ht="15" hidden="false" customHeight="false" outlineLevel="0" collapsed="false">
      <c r="A6" s="12" t="s">
        <v>31</v>
      </c>
      <c r="B6" s="13" t="n">
        <v>36</v>
      </c>
      <c r="C6" s="14" t="s">
        <v>32</v>
      </c>
      <c r="D6" s="15" t="s">
        <v>33</v>
      </c>
    </row>
    <row r="7" customFormat="false" ht="15" hidden="false" customHeight="false" outlineLevel="0" collapsed="false">
      <c r="A7" s="5" t="s">
        <v>34</v>
      </c>
      <c r="B7" s="16" t="n">
        <v>10000</v>
      </c>
      <c r="C7" s="17" t="s">
        <v>35</v>
      </c>
      <c r="D7" s="15" t="s">
        <v>36</v>
      </c>
    </row>
    <row r="8" customFormat="false" ht="15" hidden="false" customHeight="false" outlineLevel="0" collapsed="false">
      <c r="A8" s="5" t="s">
        <v>37</v>
      </c>
      <c r="B8" s="18" t="n">
        <v>0.08</v>
      </c>
      <c r="C8" s="14" t="s">
        <v>38</v>
      </c>
      <c r="D8" s="15" t="s">
        <v>39</v>
      </c>
    </row>
    <row r="9" customFormat="false" ht="15" hidden="false" customHeight="false" outlineLevel="0" collapsed="false">
      <c r="A9" s="5" t="s">
        <v>40</v>
      </c>
      <c r="B9" s="18" t="n">
        <v>0.015</v>
      </c>
      <c r="C9" s="14" t="s">
        <v>38</v>
      </c>
      <c r="D9" s="15" t="s">
        <v>41</v>
      </c>
    </row>
    <row r="10" customFormat="false" ht="15" hidden="false" customHeight="false" outlineLevel="0" collapsed="false">
      <c r="A10" s="5" t="s">
        <v>42</v>
      </c>
      <c r="B10" s="19" t="n">
        <v>9000000</v>
      </c>
      <c r="C10" s="14" t="s">
        <v>43</v>
      </c>
      <c r="D10" s="15" t="s">
        <v>44</v>
      </c>
    </row>
    <row r="11" customFormat="false" ht="15" hidden="false" customHeight="false" outlineLevel="0" collapsed="false">
      <c r="A11" s="5" t="s">
        <v>45</v>
      </c>
      <c r="B11" s="20" t="n">
        <v>3</v>
      </c>
      <c r="C11" s="17" t="s">
        <v>46</v>
      </c>
      <c r="D11" s="15" t="s">
        <v>41</v>
      </c>
    </row>
    <row r="12" customFormat="false" ht="15" hidden="false" customHeight="false" outlineLevel="0" collapsed="false">
      <c r="A12" s="5" t="s">
        <v>47</v>
      </c>
      <c r="B12" s="21" t="n">
        <v>0.28</v>
      </c>
      <c r="C12" s="14" t="s">
        <v>48</v>
      </c>
      <c r="D12" s="15" t="s">
        <v>49</v>
      </c>
    </row>
    <row r="13" customFormat="false" ht="15" hidden="false" customHeight="false" outlineLevel="0" collapsed="false">
      <c r="A13" s="5" t="s">
        <v>50</v>
      </c>
      <c r="B13" s="18" t="n">
        <v>0.07</v>
      </c>
      <c r="C13" s="14" t="s">
        <v>51</v>
      </c>
      <c r="D13" s="15" t="s">
        <v>41</v>
      </c>
    </row>
    <row r="14" customFormat="false" ht="15" hidden="false" customHeight="false" outlineLevel="0" collapsed="false">
      <c r="A14" s="12" t="s">
        <v>52</v>
      </c>
      <c r="B14" s="13" t="n">
        <v>4</v>
      </c>
      <c r="C14" s="14" t="s">
        <v>53</v>
      </c>
      <c r="D14" s="15" t="s">
        <v>54</v>
      </c>
    </row>
    <row r="15" customFormat="false" ht="15" hidden="false" customHeight="false" outlineLevel="0" collapsed="false">
      <c r="A15" s="12" t="s">
        <v>55</v>
      </c>
      <c r="B15" s="13" t="n">
        <v>2.8</v>
      </c>
      <c r="C15" s="14" t="s">
        <v>53</v>
      </c>
      <c r="D15" s="15" t="s">
        <v>54</v>
      </c>
    </row>
    <row r="16" customFormat="false" ht="15" hidden="false" customHeight="false" outlineLevel="0" collapsed="false">
      <c r="A16" s="5" t="s">
        <v>56</v>
      </c>
      <c r="B16" s="22" t="n">
        <v>1</v>
      </c>
      <c r="C16" s="17" t="s">
        <v>57</v>
      </c>
      <c r="D16" s="15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34"/>
  </cols>
  <sheetData>
    <row r="1" customFormat="false" ht="19.4" hidden="false" customHeight="false" outlineLevel="0" collapsed="false">
      <c r="A1" s="23" t="s">
        <v>59</v>
      </c>
    </row>
    <row r="2" customFormat="false" ht="15" hidden="false" customHeight="false" outlineLevel="0" collapsed="false">
      <c r="A2" s="2" t="s">
        <v>60</v>
      </c>
    </row>
    <row r="4" customFormat="false" ht="15" hidden="false" customHeight="false" outlineLevel="0" collapsed="false">
      <c r="A4" s="3" t="s">
        <v>61</v>
      </c>
      <c r="B4" s="3" t="s">
        <v>62</v>
      </c>
      <c r="C4" s="3" t="s">
        <v>63</v>
      </c>
      <c r="D4" s="3" t="s">
        <v>64</v>
      </c>
      <c r="E4" s="3" t="s">
        <v>65</v>
      </c>
    </row>
    <row r="5" customFormat="false" ht="15" hidden="false" customHeight="false" outlineLevel="0" collapsed="false">
      <c r="A5" s="17" t="s">
        <v>66</v>
      </c>
      <c r="B5" s="14" t="s">
        <v>67</v>
      </c>
      <c r="C5" s="19" t="n">
        <v>14640</v>
      </c>
      <c r="D5" s="19" t="n">
        <v>1</v>
      </c>
      <c r="E5" s="17" t="s">
        <v>68</v>
      </c>
    </row>
    <row r="6" customFormat="false" ht="15" hidden="false" customHeight="false" outlineLevel="0" collapsed="false">
      <c r="A6" s="17" t="s">
        <v>66</v>
      </c>
      <c r="B6" s="14" t="s">
        <v>69</v>
      </c>
      <c r="C6" s="19" t="n">
        <v>8473</v>
      </c>
      <c r="D6" s="19" t="n">
        <v>7</v>
      </c>
      <c r="E6" s="17" t="s">
        <v>70</v>
      </c>
    </row>
    <row r="7" customFormat="false" ht="15" hidden="false" customHeight="false" outlineLevel="0" collapsed="false">
      <c r="A7" s="17" t="s">
        <v>71</v>
      </c>
      <c r="B7" s="14" t="s">
        <v>72</v>
      </c>
      <c r="C7" s="19" t="n">
        <v>2807</v>
      </c>
      <c r="D7" s="19" t="n">
        <v>48</v>
      </c>
      <c r="E7" s="17" t="s">
        <v>73</v>
      </c>
    </row>
    <row r="8" customFormat="false" ht="15" hidden="false" customHeight="false" outlineLevel="0" collapsed="false">
      <c r="A8" s="17" t="s">
        <v>71</v>
      </c>
      <c r="B8" s="14" t="s">
        <v>74</v>
      </c>
      <c r="C8" s="19" t="n">
        <v>2428</v>
      </c>
      <c r="D8" s="19" t="n">
        <v>43</v>
      </c>
      <c r="E8" s="17" t="s">
        <v>75</v>
      </c>
    </row>
    <row r="9" customFormat="false" ht="15" hidden="false" customHeight="false" outlineLevel="0" collapsed="false">
      <c r="A9" s="17" t="s">
        <v>71</v>
      </c>
      <c r="B9" s="14" t="s">
        <v>76</v>
      </c>
      <c r="C9" s="19" t="n">
        <v>2044</v>
      </c>
      <c r="D9" s="19" t="n">
        <v>202</v>
      </c>
      <c r="E9" s="17" t="s">
        <v>75</v>
      </c>
    </row>
    <row r="10" customFormat="false" ht="15" hidden="false" customHeight="false" outlineLevel="0" collapsed="false">
      <c r="A10" s="17" t="s">
        <v>77</v>
      </c>
      <c r="B10" s="14" t="s">
        <v>78</v>
      </c>
      <c r="C10" s="19" t="n">
        <v>8967</v>
      </c>
      <c r="D10" s="19" t="n">
        <v>2</v>
      </c>
      <c r="E10" s="17" t="s">
        <v>79</v>
      </c>
    </row>
    <row r="11" customFormat="false" ht="15" hidden="false" customHeight="false" outlineLevel="0" collapsed="false">
      <c r="A11" s="17" t="s">
        <v>77</v>
      </c>
      <c r="B11" s="14" t="s">
        <v>80</v>
      </c>
      <c r="C11" s="19" t="n">
        <v>7428</v>
      </c>
      <c r="D11" s="19" t="n">
        <v>4</v>
      </c>
      <c r="E11" s="17" t="s">
        <v>81</v>
      </c>
    </row>
    <row r="12" customFormat="false" ht="15" hidden="false" customHeight="false" outlineLevel="0" collapsed="false">
      <c r="A12" s="17" t="s">
        <v>77</v>
      </c>
      <c r="B12" s="14" t="s">
        <v>82</v>
      </c>
      <c r="C12" s="19" t="n">
        <v>6483</v>
      </c>
      <c r="D12" s="19" t="n">
        <v>5</v>
      </c>
      <c r="E12" s="17" t="s">
        <v>81</v>
      </c>
    </row>
    <row r="13" customFormat="false" ht="15" hidden="false" customHeight="false" outlineLevel="0" collapsed="false">
      <c r="A13" s="17" t="s">
        <v>77</v>
      </c>
      <c r="B13" s="14" t="s">
        <v>83</v>
      </c>
      <c r="C13" s="19" t="n">
        <v>4951</v>
      </c>
      <c r="D13" s="19" t="n">
        <v>1146</v>
      </c>
      <c r="E13" s="17" t="s">
        <v>84</v>
      </c>
    </row>
    <row r="14" customFormat="false" ht="15" hidden="false" customHeight="false" outlineLevel="0" collapsed="false">
      <c r="A14" s="17" t="s">
        <v>77</v>
      </c>
      <c r="B14" s="14" t="s">
        <v>85</v>
      </c>
      <c r="C14" s="19" t="n">
        <v>3902</v>
      </c>
      <c r="D14" s="19" t="n">
        <v>3</v>
      </c>
      <c r="E14" s="17" t="s">
        <v>86</v>
      </c>
    </row>
    <row r="15" customFormat="false" ht="15" hidden="false" customHeight="false" outlineLevel="0" collapsed="false">
      <c r="A15" s="17" t="s">
        <v>87</v>
      </c>
      <c r="B15" s="14" t="s">
        <v>88</v>
      </c>
      <c r="C15" s="19" t="n">
        <v>2577</v>
      </c>
      <c r="D15" s="19" t="n">
        <v>309</v>
      </c>
      <c r="E15" s="17" t="s">
        <v>89</v>
      </c>
    </row>
    <row r="16" customFormat="false" ht="15" hidden="false" customHeight="false" outlineLevel="0" collapsed="false">
      <c r="A16" s="17" t="s">
        <v>87</v>
      </c>
      <c r="B16" s="14" t="s">
        <v>90</v>
      </c>
      <c r="C16" s="19" t="n">
        <v>2050</v>
      </c>
      <c r="D16" s="19" t="n">
        <v>146</v>
      </c>
      <c r="E16" s="17" t="s">
        <v>91</v>
      </c>
    </row>
    <row r="17" customFormat="false" ht="15" hidden="false" customHeight="false" outlineLevel="0" collapsed="false">
      <c r="A17" s="17" t="s">
        <v>87</v>
      </c>
      <c r="B17" s="14" t="s">
        <v>92</v>
      </c>
      <c r="C17" s="19" t="n">
        <v>1126</v>
      </c>
      <c r="D17" s="19" t="n">
        <v>242</v>
      </c>
      <c r="E17" s="17" t="s">
        <v>93</v>
      </c>
    </row>
    <row r="18" customFormat="false" ht="15" hidden="false" customHeight="false" outlineLevel="0" collapsed="false">
      <c r="A18" s="14" t="s">
        <v>94</v>
      </c>
      <c r="B18" s="14" t="s">
        <v>95</v>
      </c>
      <c r="C18" s="19" t="n">
        <v>1475</v>
      </c>
      <c r="D18" s="19" t="n">
        <v>552</v>
      </c>
      <c r="E18" s="17" t="s">
        <v>96</v>
      </c>
    </row>
    <row r="19" customFormat="false" ht="15" hidden="false" customHeight="false" outlineLevel="0" collapsed="false">
      <c r="A19" s="14" t="s">
        <v>94</v>
      </c>
      <c r="B19" s="14" t="s">
        <v>97</v>
      </c>
      <c r="C19" s="19" t="n">
        <v>1164</v>
      </c>
      <c r="D19" s="19" t="n">
        <v>221</v>
      </c>
      <c r="E19" s="17" t="s">
        <v>98</v>
      </c>
    </row>
    <row r="20" customFormat="false" ht="15" hidden="false" customHeight="false" outlineLevel="0" collapsed="false">
      <c r="A20" s="14" t="s">
        <v>94</v>
      </c>
      <c r="B20" s="14" t="s">
        <v>99</v>
      </c>
      <c r="C20" s="19" t="n">
        <v>534</v>
      </c>
      <c r="D20" s="19" t="n">
        <v>56</v>
      </c>
      <c r="E20" s="17" t="s">
        <v>100</v>
      </c>
    </row>
    <row r="21" customFormat="false" ht="15" hidden="false" customHeight="false" outlineLevel="0" collapsed="false">
      <c r="A21" s="17" t="s">
        <v>101</v>
      </c>
      <c r="B21" s="14" t="s">
        <v>102</v>
      </c>
      <c r="C21" s="19" t="n">
        <v>4576</v>
      </c>
      <c r="D21" s="19" t="n">
        <v>4</v>
      </c>
      <c r="E21" s="17" t="s">
        <v>103</v>
      </c>
    </row>
    <row r="22" customFormat="false" ht="15" hidden="false" customHeight="false" outlineLevel="0" collapsed="false">
      <c r="A22" s="17" t="s">
        <v>101</v>
      </c>
      <c r="B22" s="14" t="s">
        <v>104</v>
      </c>
      <c r="C22" s="19" t="n">
        <v>2270</v>
      </c>
      <c r="D22" s="19" t="n">
        <v>118</v>
      </c>
      <c r="E22" s="17" t="s">
        <v>105</v>
      </c>
    </row>
    <row r="23" customFormat="false" ht="15" hidden="false" customHeight="false" outlineLevel="0" collapsed="false">
      <c r="A23" s="17" t="s">
        <v>101</v>
      </c>
      <c r="B23" s="14" t="s">
        <v>106</v>
      </c>
      <c r="C23" s="19" t="n">
        <v>1800</v>
      </c>
      <c r="D23" s="19" t="n">
        <v>61</v>
      </c>
      <c r="E23" s="17" t="s">
        <v>107</v>
      </c>
    </row>
    <row r="24" customFormat="false" ht="15" hidden="false" customHeight="false" outlineLevel="0" collapsed="false">
      <c r="A24" s="17" t="s">
        <v>101</v>
      </c>
      <c r="B24" s="17" t="s">
        <v>108</v>
      </c>
      <c r="C24" s="19" t="n">
        <v>150</v>
      </c>
      <c r="D24" s="19" t="n">
        <v>154</v>
      </c>
      <c r="E24" s="17" t="s">
        <v>109</v>
      </c>
    </row>
    <row r="25" customFormat="false" ht="15" hidden="false" customHeight="false" outlineLevel="0" collapsed="false">
      <c r="A25" s="17" t="s">
        <v>101</v>
      </c>
      <c r="B25" s="17" t="s">
        <v>110</v>
      </c>
      <c r="C25" s="19" t="n">
        <v>180</v>
      </c>
      <c r="D25" s="19" t="n">
        <v>79</v>
      </c>
      <c r="E25" s="17" t="s">
        <v>111</v>
      </c>
    </row>
    <row r="26" customFormat="false" ht="15" hidden="false" customHeight="false" outlineLevel="0" collapsed="false">
      <c r="A26" s="17" t="s">
        <v>112</v>
      </c>
      <c r="B26" s="14" t="s">
        <v>113</v>
      </c>
      <c r="C26" s="19" t="n">
        <v>1860</v>
      </c>
      <c r="D26" s="19" t="n">
        <v>29</v>
      </c>
      <c r="E26" s="14" t="s">
        <v>114</v>
      </c>
    </row>
    <row r="27" customFormat="false" ht="15" hidden="false" customHeight="false" outlineLevel="0" collapsed="false">
      <c r="A27" s="17" t="s">
        <v>112</v>
      </c>
      <c r="B27" s="14" t="s">
        <v>115</v>
      </c>
      <c r="C27" s="19" t="n">
        <v>804</v>
      </c>
      <c r="D27" s="19" t="n">
        <v>2949</v>
      </c>
      <c r="E27" s="14" t="s">
        <v>116</v>
      </c>
    </row>
    <row r="28" customFormat="false" ht="15" hidden="false" customHeight="false" outlineLevel="0" collapsed="false">
      <c r="A28" s="17" t="s">
        <v>117</v>
      </c>
      <c r="B28" s="17" t="s">
        <v>118</v>
      </c>
      <c r="C28" s="19" t="n">
        <v>1264</v>
      </c>
      <c r="D28" s="19" t="n">
        <v>931</v>
      </c>
      <c r="E28" s="17" t="s">
        <v>119</v>
      </c>
    </row>
    <row r="29" customFormat="false" ht="15" hidden="false" customHeight="false" outlineLevel="0" collapsed="false">
      <c r="A29" s="17" t="s">
        <v>117</v>
      </c>
      <c r="B29" s="14" t="s">
        <v>120</v>
      </c>
      <c r="C29" s="19" t="n">
        <v>771</v>
      </c>
      <c r="D29" s="19" t="n">
        <v>1649</v>
      </c>
      <c r="E29" s="17" t="s">
        <v>121</v>
      </c>
    </row>
    <row r="30" customFormat="false" ht="15" hidden="false" customHeight="false" outlineLevel="0" collapsed="false">
      <c r="A30" s="17" t="s">
        <v>122</v>
      </c>
      <c r="B30" s="14" t="s">
        <v>123</v>
      </c>
      <c r="C30" s="19" t="n">
        <v>532</v>
      </c>
      <c r="D30" s="19" t="n">
        <v>287</v>
      </c>
      <c r="E30" s="17" t="s">
        <v>124</v>
      </c>
    </row>
    <row r="31" customFormat="false" ht="15" hidden="false" customHeight="false" outlineLevel="0" collapsed="false">
      <c r="A31" s="17" t="s">
        <v>122</v>
      </c>
      <c r="B31" s="17" t="s">
        <v>125</v>
      </c>
      <c r="C31" s="19" t="n">
        <v>978</v>
      </c>
      <c r="D31" s="19" t="n">
        <v>1603</v>
      </c>
      <c r="E31" s="17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95"/>
  </cols>
  <sheetData>
    <row r="1" customFormat="false" ht="17.3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2" t="s">
        <v>128</v>
      </c>
    </row>
    <row r="4" customFormat="false" ht="15" hidden="false" customHeight="false" outlineLevel="0" collapsed="false">
      <c r="A4" s="3" t="s">
        <v>129</v>
      </c>
      <c r="B4" s="3" t="s">
        <v>25</v>
      </c>
      <c r="C4" s="3" t="s">
        <v>26</v>
      </c>
      <c r="D4" s="3" t="s">
        <v>130</v>
      </c>
      <c r="E4" s="3" t="s">
        <v>131</v>
      </c>
    </row>
    <row r="5" customFormat="false" ht="26.85" hidden="false" customHeight="false" outlineLevel="0" collapsed="false">
      <c r="A5" s="12" t="s">
        <v>132</v>
      </c>
      <c r="B5" s="19" t="n">
        <v>400</v>
      </c>
      <c r="C5" s="14" t="s">
        <v>133</v>
      </c>
      <c r="D5" s="6" t="n">
        <f aca="false">B5*假設!$B$6</f>
        <v>14400</v>
      </c>
      <c r="E5" s="15" t="s">
        <v>134</v>
      </c>
    </row>
    <row r="6" customFormat="false" ht="15" hidden="false" customHeight="false" outlineLevel="0" collapsed="false">
      <c r="A6" s="12" t="s">
        <v>135</v>
      </c>
      <c r="B6" s="19" t="n">
        <v>370</v>
      </c>
      <c r="C6" s="14" t="s">
        <v>133</v>
      </c>
      <c r="D6" s="6" t="n">
        <f aca="false">B6*假設!$B$6</f>
        <v>13320</v>
      </c>
      <c r="E6" s="15" t="s">
        <v>136</v>
      </c>
    </row>
    <row r="7" customFormat="false" ht="15" hidden="false" customHeight="false" outlineLevel="0" collapsed="false">
      <c r="A7" s="12" t="s">
        <v>137</v>
      </c>
      <c r="B7" s="19" t="n">
        <v>75</v>
      </c>
      <c r="C7" s="14" t="s">
        <v>133</v>
      </c>
      <c r="D7" s="6" t="n">
        <f aca="false">B7*假設!$B$6</f>
        <v>2700</v>
      </c>
      <c r="E7" s="15" t="s">
        <v>138</v>
      </c>
    </row>
    <row r="8" customFormat="false" ht="15" hidden="false" customHeight="false" outlineLevel="0" collapsed="false">
      <c r="A8" s="12" t="s">
        <v>139</v>
      </c>
      <c r="B8" s="19" t="n">
        <v>45</v>
      </c>
      <c r="C8" s="14" t="s">
        <v>133</v>
      </c>
      <c r="D8" s="6" t="n">
        <f aca="false">B8*假設!$B$6</f>
        <v>1620</v>
      </c>
      <c r="E8" s="15" t="s">
        <v>140</v>
      </c>
    </row>
    <row r="9" customFormat="false" ht="15" hidden="false" customHeight="false" outlineLevel="0" collapsed="false">
      <c r="A9" s="12" t="s">
        <v>141</v>
      </c>
      <c r="B9" s="19" t="n">
        <v>30</v>
      </c>
      <c r="C9" s="14" t="s">
        <v>133</v>
      </c>
      <c r="D9" s="6" t="n">
        <f aca="false">B9*假設!$B$6</f>
        <v>1080</v>
      </c>
      <c r="E9" s="15" t="s">
        <v>142</v>
      </c>
    </row>
    <row r="10" customFormat="false" ht="15" hidden="false" customHeight="false" outlineLevel="0" collapsed="false">
      <c r="A10" s="12" t="s">
        <v>143</v>
      </c>
      <c r="B10" s="19" t="n">
        <v>920</v>
      </c>
      <c r="C10" s="14" t="s">
        <v>133</v>
      </c>
      <c r="D10" s="6" t="n">
        <f aca="false">B10*假設!$B$6</f>
        <v>33120</v>
      </c>
      <c r="E10" s="15" t="s">
        <v>144</v>
      </c>
    </row>
    <row r="11" customFormat="false" ht="26.85" hidden="false" customHeight="false" outlineLevel="0" collapsed="false">
      <c r="A11" s="12" t="s">
        <v>145</v>
      </c>
      <c r="B11" s="19" t="n">
        <v>490</v>
      </c>
      <c r="C11" s="14" t="s">
        <v>146</v>
      </c>
      <c r="D11" s="6" t="n">
        <f aca="false">B11*假設!$B$5</f>
        <v>15190</v>
      </c>
      <c r="E11" s="15" t="s">
        <v>147</v>
      </c>
    </row>
    <row r="12" customFormat="false" ht="26.85" hidden="false" customHeight="false" outlineLevel="0" collapsed="false">
      <c r="A12" s="12" t="s">
        <v>148</v>
      </c>
      <c r="B12" s="19" t="n">
        <v>280</v>
      </c>
      <c r="C12" s="14" t="s">
        <v>146</v>
      </c>
      <c r="D12" s="6" t="n">
        <f aca="false">B12*假設!$B$5</f>
        <v>8680</v>
      </c>
      <c r="E12" s="15" t="s">
        <v>149</v>
      </c>
    </row>
    <row r="13" customFormat="false" ht="15" hidden="false" customHeight="false" outlineLevel="0" collapsed="false">
      <c r="A13" s="12" t="s">
        <v>150</v>
      </c>
      <c r="B13" s="24" t="n">
        <v>39.99</v>
      </c>
      <c r="C13" s="14" t="s">
        <v>133</v>
      </c>
      <c r="D13" s="6" t="n">
        <f aca="false">B13*假設!$B$6</f>
        <v>1439.64</v>
      </c>
      <c r="E13" s="25" t="s">
        <v>151</v>
      </c>
    </row>
    <row r="14" customFormat="false" ht="15" hidden="false" customHeight="false" outlineLevel="0" collapsed="false">
      <c r="A14" s="12" t="s">
        <v>152</v>
      </c>
      <c r="B14" s="24" t="n">
        <v>19.9</v>
      </c>
      <c r="C14" s="14" t="s">
        <v>133</v>
      </c>
      <c r="D14" s="6" t="n">
        <f aca="false">B14*假設!$B$6</f>
        <v>716.4</v>
      </c>
      <c r="E14" s="15" t="s">
        <v>153</v>
      </c>
    </row>
    <row r="15" customFormat="false" ht="15" hidden="false" customHeight="false" outlineLevel="0" collapsed="false">
      <c r="A15" s="12" t="s">
        <v>154</v>
      </c>
      <c r="B15" s="19" t="n">
        <v>999</v>
      </c>
      <c r="C15" s="14" t="s">
        <v>155</v>
      </c>
      <c r="D15" s="14"/>
      <c r="E15" s="25" t="s">
        <v>156</v>
      </c>
    </row>
    <row r="16" customFormat="false" ht="15" hidden="false" customHeight="false" outlineLevel="0" collapsed="false">
      <c r="A16" s="12" t="s">
        <v>157</v>
      </c>
      <c r="B16" s="19" t="n">
        <v>850</v>
      </c>
      <c r="C16" s="14" t="s">
        <v>158</v>
      </c>
      <c r="D16" s="14"/>
      <c r="E16" s="15" t="s">
        <v>159</v>
      </c>
    </row>
    <row r="17" customFormat="false" ht="26.85" hidden="false" customHeight="false" outlineLevel="0" collapsed="false">
      <c r="A17" s="12" t="s">
        <v>160</v>
      </c>
      <c r="B17" s="24" t="n">
        <v>0.1</v>
      </c>
      <c r="C17" s="14" t="s">
        <v>161</v>
      </c>
      <c r="D17" s="6" t="n">
        <f aca="false">B17*假設!$B$5</f>
        <v>3.1</v>
      </c>
      <c r="E17" s="25" t="s">
        <v>162</v>
      </c>
    </row>
    <row r="18" customFormat="false" ht="15" hidden="false" customHeight="false" outlineLevel="0" collapsed="false">
      <c r="A18" s="12" t="s">
        <v>163</v>
      </c>
      <c r="B18" s="19" t="n">
        <v>170</v>
      </c>
      <c r="C18" s="14" t="s">
        <v>146</v>
      </c>
      <c r="D18" s="6" t="n">
        <f aca="false">B18*假設!$B$5</f>
        <v>5270</v>
      </c>
      <c r="E18" s="15" t="s">
        <v>164</v>
      </c>
    </row>
    <row r="19" customFormat="false" ht="26.85" hidden="false" customHeight="false" outlineLevel="0" collapsed="false">
      <c r="A19" s="12" t="s">
        <v>165</v>
      </c>
      <c r="B19" s="19" t="n">
        <v>135</v>
      </c>
      <c r="C19" s="14" t="s">
        <v>146</v>
      </c>
      <c r="D19" s="6" t="n">
        <f aca="false">B19*假設!$B$5</f>
        <v>4185</v>
      </c>
      <c r="E19" s="15" t="s">
        <v>166</v>
      </c>
    </row>
    <row r="20" customFormat="false" ht="26.85" hidden="false" customHeight="false" outlineLevel="0" collapsed="false">
      <c r="A20" s="12" t="s">
        <v>167</v>
      </c>
      <c r="B20" s="19" t="n">
        <v>92</v>
      </c>
      <c r="C20" s="14" t="s">
        <v>168</v>
      </c>
      <c r="D20" s="6" t="n">
        <f aca="false">B20*假設!$B$5</f>
        <v>2852</v>
      </c>
      <c r="E20" s="25" t="s">
        <v>169</v>
      </c>
    </row>
    <row r="21" customFormat="false" ht="15" hidden="false" customHeight="false" outlineLevel="0" collapsed="false">
      <c r="A21" s="12" t="s">
        <v>170</v>
      </c>
      <c r="B21" s="19" t="n">
        <v>42</v>
      </c>
      <c r="C21" s="14" t="s">
        <v>146</v>
      </c>
      <c r="D21" s="6" t="n">
        <f aca="false">B21*假設!$B$5</f>
        <v>1302</v>
      </c>
      <c r="E21" s="25" t="s">
        <v>171</v>
      </c>
    </row>
    <row r="22" customFormat="false" ht="15" hidden="false" customHeight="false" outlineLevel="0" collapsed="false">
      <c r="A22" s="12" t="s">
        <v>172</v>
      </c>
      <c r="B22" s="24" t="n">
        <v>6.5</v>
      </c>
      <c r="C22" s="14" t="s">
        <v>146</v>
      </c>
      <c r="D22" s="6" t="n">
        <f aca="false">B22*假設!$B$5</f>
        <v>201.5</v>
      </c>
      <c r="E22" s="25" t="s">
        <v>173</v>
      </c>
    </row>
    <row r="23" customFormat="false" ht="15" hidden="false" customHeight="false" outlineLevel="0" collapsed="false">
      <c r="A23" s="5" t="s">
        <v>174</v>
      </c>
      <c r="B23" s="19" t="n">
        <v>28</v>
      </c>
      <c r="C23" s="14" t="s">
        <v>146</v>
      </c>
      <c r="D23" s="6" t="n">
        <f aca="false">B23*假設!$B$5</f>
        <v>868</v>
      </c>
      <c r="E23" s="25" t="s">
        <v>175</v>
      </c>
    </row>
    <row r="24" customFormat="false" ht="15" hidden="false" customHeight="false" outlineLevel="0" collapsed="false">
      <c r="A24" s="12" t="s">
        <v>176</v>
      </c>
      <c r="B24" s="19" t="n">
        <v>130000</v>
      </c>
      <c r="C24" s="14" t="s">
        <v>146</v>
      </c>
      <c r="D24" s="6" t="n">
        <f aca="false">B24*假設!$B$5</f>
        <v>4030000</v>
      </c>
      <c r="E24" s="25" t="s">
        <v>177</v>
      </c>
    </row>
    <row r="25" customFormat="false" ht="26.85" hidden="false" customHeight="false" outlineLevel="0" collapsed="false">
      <c r="A25" s="12" t="s">
        <v>178</v>
      </c>
      <c r="B25" s="24" t="n">
        <v>341.41</v>
      </c>
      <c r="C25" s="14" t="s">
        <v>179</v>
      </c>
      <c r="D25" s="6" t="n">
        <f aca="false">B25*假設!$B$6</f>
        <v>12290.76</v>
      </c>
      <c r="E25" s="25" t="s">
        <v>180</v>
      </c>
    </row>
    <row r="26" customFormat="false" ht="15" hidden="false" customHeight="false" outlineLevel="0" collapsed="false">
      <c r="A26" s="12" t="s">
        <v>181</v>
      </c>
      <c r="B26" s="19" t="n">
        <v>73</v>
      </c>
      <c r="C26" s="14" t="s">
        <v>182</v>
      </c>
      <c r="D26" s="6" t="n">
        <f aca="false">B26*假設!$B$6</f>
        <v>2628</v>
      </c>
      <c r="E26" s="25" t="s">
        <v>183</v>
      </c>
    </row>
    <row r="27" customFormat="false" ht="15" hidden="false" customHeight="false" outlineLevel="0" collapsed="false">
      <c r="A27" s="12" t="s">
        <v>184</v>
      </c>
      <c r="B27" s="19" t="n">
        <v>59</v>
      </c>
      <c r="C27" s="14" t="s">
        <v>182</v>
      </c>
      <c r="D27" s="6" t="n">
        <f aca="false">B27*假設!$B$6</f>
        <v>2124</v>
      </c>
      <c r="E27" s="25" t="s">
        <v>185</v>
      </c>
    </row>
    <row r="28" customFormat="false" ht="15" hidden="false" customHeight="false" outlineLevel="0" collapsed="false">
      <c r="A28" s="12" t="s">
        <v>186</v>
      </c>
      <c r="B28" s="19" t="n">
        <v>49</v>
      </c>
      <c r="C28" s="14" t="s">
        <v>187</v>
      </c>
      <c r="D28" s="6" t="n">
        <f aca="false">B28*假設!$B$5</f>
        <v>1519</v>
      </c>
      <c r="E28" s="15" t="s">
        <v>188</v>
      </c>
    </row>
    <row r="29" customFormat="false" ht="26.85" hidden="false" customHeight="false" outlineLevel="0" collapsed="false">
      <c r="A29" s="12" t="s">
        <v>189</v>
      </c>
      <c r="B29" s="19" t="n">
        <v>19</v>
      </c>
      <c r="C29" s="14" t="s">
        <v>190</v>
      </c>
      <c r="D29" s="6" t="n">
        <f aca="false">B29*假設!$B$5</f>
        <v>589</v>
      </c>
      <c r="E29" s="25" t="s">
        <v>191</v>
      </c>
    </row>
    <row r="30" customFormat="false" ht="15" hidden="false" customHeight="false" outlineLevel="0" collapsed="false">
      <c r="A30" s="12" t="s">
        <v>192</v>
      </c>
      <c r="B30" s="19" t="n">
        <v>188</v>
      </c>
      <c r="C30" s="14" t="s">
        <v>193</v>
      </c>
      <c r="D30" s="26" t="n">
        <f aca="false">B30</f>
        <v>188</v>
      </c>
      <c r="E30" s="25" t="s">
        <v>194</v>
      </c>
    </row>
    <row r="31" customFormat="false" ht="26.85" hidden="false" customHeight="false" outlineLevel="0" collapsed="false">
      <c r="A31" s="5" t="s">
        <v>195</v>
      </c>
      <c r="B31" s="24" t="n">
        <v>2.8</v>
      </c>
      <c r="C31" s="17" t="s">
        <v>196</v>
      </c>
      <c r="D31" s="14"/>
      <c r="E31" s="25" t="s">
        <v>197</v>
      </c>
    </row>
    <row r="32" customFormat="false" ht="15" hidden="false" customHeight="false" outlineLevel="0" collapsed="false">
      <c r="A32" s="12" t="s">
        <v>198</v>
      </c>
      <c r="B32" s="19" t="n">
        <v>589</v>
      </c>
      <c r="C32" s="14" t="s">
        <v>182</v>
      </c>
      <c r="D32" s="6" t="n">
        <f aca="false">B32*假設!$B$6</f>
        <v>21204</v>
      </c>
      <c r="E32" s="25" t="s">
        <v>199</v>
      </c>
    </row>
    <row r="33" customFormat="false" ht="15" hidden="false" customHeight="false" outlineLevel="0" collapsed="false">
      <c r="A33" s="5" t="s">
        <v>200</v>
      </c>
      <c r="B33" s="24" t="n">
        <v>0.13</v>
      </c>
      <c r="C33" s="14" t="s">
        <v>48</v>
      </c>
      <c r="D33" s="14"/>
      <c r="E33" s="25" t="s">
        <v>201</v>
      </c>
    </row>
    <row r="34" customFormat="false" ht="15" hidden="false" customHeight="false" outlineLevel="0" collapsed="false">
      <c r="A34" s="5" t="s">
        <v>202</v>
      </c>
      <c r="B34" s="24" t="n">
        <v>0.45</v>
      </c>
      <c r="C34" s="14" t="s">
        <v>203</v>
      </c>
      <c r="D34" s="14"/>
      <c r="E34" s="15" t="s">
        <v>204</v>
      </c>
    </row>
    <row r="35" customFormat="false" ht="26.85" hidden="false" customHeight="false" outlineLevel="0" collapsed="false">
      <c r="A35" s="5" t="s">
        <v>205</v>
      </c>
      <c r="B35" s="19" t="n">
        <v>1000</v>
      </c>
      <c r="C35" s="14" t="s">
        <v>206</v>
      </c>
      <c r="D35" s="14"/>
      <c r="E35" s="25" t="s">
        <v>207</v>
      </c>
    </row>
    <row r="36" customFormat="false" ht="15" hidden="false" customHeight="false" outlineLevel="0" collapsed="false">
      <c r="A36" s="12" t="s">
        <v>208</v>
      </c>
      <c r="B36" s="19" t="n">
        <v>20270218</v>
      </c>
      <c r="C36" s="17" t="s">
        <v>209</v>
      </c>
      <c r="D36" s="14"/>
      <c r="E36" s="25" t="s">
        <v>210</v>
      </c>
    </row>
    <row r="37" customFormat="false" ht="26.85" hidden="false" customHeight="false" outlineLevel="0" collapsed="false">
      <c r="A37" s="12" t="s">
        <v>211</v>
      </c>
      <c r="B37" s="24" t="n">
        <v>0.87</v>
      </c>
      <c r="C37" s="14" t="s">
        <v>212</v>
      </c>
      <c r="D37" s="14"/>
      <c r="E37" s="25" t="s">
        <v>213</v>
      </c>
    </row>
    <row r="38" customFormat="false" ht="26.85" hidden="false" customHeight="false" outlineLevel="0" collapsed="false">
      <c r="A38" s="5" t="s">
        <v>214</v>
      </c>
      <c r="B38" s="24" t="n">
        <v>0.25</v>
      </c>
      <c r="C38" s="14" t="s">
        <v>48</v>
      </c>
      <c r="D38" s="14"/>
      <c r="E38" s="25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3"/>
    <col collapsed="false" customWidth="true" hidden="false" outlineLevel="0" max="5" min="5" style="0" width="9"/>
    <col collapsed="false" customWidth="true" hidden="false" outlineLevel="0" max="6" min="6" style="0" width="80"/>
  </cols>
  <sheetData>
    <row r="1" customFormat="false" ht="19.4" hidden="false" customHeight="false" outlineLevel="0" collapsed="false">
      <c r="A1" s="1" t="s">
        <v>216</v>
      </c>
    </row>
    <row r="2" customFormat="false" ht="15" hidden="false" customHeight="false" outlineLevel="0" collapsed="false">
      <c r="A2" s="27" t="s">
        <v>217</v>
      </c>
    </row>
    <row r="4" customFormat="false" ht="15" hidden="false" customHeight="false" outlineLevel="0" collapsed="false">
      <c r="A4" s="4" t="s">
        <v>218</v>
      </c>
      <c r="B4" s="4" t="s">
        <v>3</v>
      </c>
      <c r="C4" s="4" t="s">
        <v>4</v>
      </c>
      <c r="D4" s="4" t="s">
        <v>5</v>
      </c>
      <c r="E4" s="4" t="s">
        <v>219</v>
      </c>
      <c r="F4" s="3" t="s">
        <v>220</v>
      </c>
    </row>
    <row r="5" customFormat="false" ht="15" hidden="false" customHeight="false" outlineLevel="0" collapsed="false">
      <c r="A5" s="28" t="s">
        <v>221</v>
      </c>
      <c r="B5" s="29"/>
      <c r="C5" s="29"/>
      <c r="D5" s="29"/>
      <c r="E5" s="30" t="n">
        <f aca="false">IF($C$36=0,0,C5/$C$36)</f>
        <v>0</v>
      </c>
      <c r="F5" s="31"/>
    </row>
    <row r="6" customFormat="false" ht="15" hidden="false" customHeight="false" outlineLevel="0" collapsed="false">
      <c r="A6" s="17" t="s">
        <v>222</v>
      </c>
      <c r="B6" s="19"/>
      <c r="C6" s="19" t="n">
        <v>420</v>
      </c>
      <c r="D6" s="19"/>
      <c r="E6" s="32" t="n">
        <f aca="false">IF($C$36=0,0,C6/$C$36)</f>
        <v>0.0249975448839846</v>
      </c>
      <c r="F6" s="25" t="s">
        <v>223</v>
      </c>
    </row>
    <row r="7" customFormat="false" ht="15" hidden="false" customHeight="false" outlineLevel="0" collapsed="false">
      <c r="A7" s="17" t="s">
        <v>224</v>
      </c>
      <c r="B7" s="19"/>
      <c r="C7" s="19" t="n">
        <v>700</v>
      </c>
      <c r="D7" s="19"/>
      <c r="E7" s="32" t="n">
        <f aca="false">IF($C$36=0,0,C7/$C$36)</f>
        <v>0.041662574806641</v>
      </c>
      <c r="F7" s="25" t="s">
        <v>225</v>
      </c>
    </row>
    <row r="8" customFormat="false" ht="15" hidden="false" customHeight="false" outlineLevel="0" collapsed="false">
      <c r="A8" s="17" t="s">
        <v>226</v>
      </c>
      <c r="B8" s="19"/>
      <c r="C8" s="19" t="n">
        <v>850</v>
      </c>
      <c r="D8" s="19"/>
      <c r="E8" s="32" t="n">
        <f aca="false">IF($C$36=0,0,C8/$C$36)</f>
        <v>0.0505902694080641</v>
      </c>
      <c r="F8" s="25" t="s">
        <v>227</v>
      </c>
    </row>
    <row r="9" customFormat="false" ht="15" hidden="false" customHeight="false" outlineLevel="0" collapsed="false">
      <c r="A9" s="17" t="s">
        <v>228</v>
      </c>
      <c r="B9" s="19"/>
      <c r="C9" s="19" t="n">
        <v>750</v>
      </c>
      <c r="D9" s="19"/>
      <c r="E9" s="32" t="n">
        <f aca="false">IF($C$36=0,0,C9/$C$36)</f>
        <v>0.0446384730071154</v>
      </c>
      <c r="F9" s="25" t="s">
        <v>229</v>
      </c>
    </row>
    <row r="10" customFormat="false" ht="15" hidden="false" customHeight="false" outlineLevel="0" collapsed="false">
      <c r="A10" s="17" t="s">
        <v>230</v>
      </c>
      <c r="B10" s="19"/>
      <c r="C10" s="19" t="n">
        <v>900</v>
      </c>
      <c r="D10" s="19"/>
      <c r="E10" s="32" t="n">
        <f aca="false">IF($C$36=0,0,C10/$C$36)</f>
        <v>0.0535661676085384</v>
      </c>
      <c r="F10" s="25" t="s">
        <v>231</v>
      </c>
    </row>
    <row r="11" customFormat="false" ht="15" hidden="false" customHeight="false" outlineLevel="0" collapsed="false">
      <c r="A11" s="17" t="s">
        <v>232</v>
      </c>
      <c r="B11" s="19"/>
      <c r="C11" s="19" t="n">
        <v>950</v>
      </c>
      <c r="D11" s="19"/>
      <c r="E11" s="32" t="n">
        <f aca="false">IF($C$36=0,0,C11/$C$36)</f>
        <v>0.0565420658090128</v>
      </c>
      <c r="F11" s="25" t="s">
        <v>233</v>
      </c>
    </row>
    <row r="12" customFormat="false" ht="15" hidden="false" customHeight="false" outlineLevel="0" collapsed="false">
      <c r="A12" s="17" t="s">
        <v>234</v>
      </c>
      <c r="B12" s="19"/>
      <c r="C12" s="19" t="n">
        <v>450</v>
      </c>
      <c r="D12" s="19"/>
      <c r="E12" s="32" t="n">
        <f aca="false">IF($C$36=0,0,C12/$C$36)</f>
        <v>0.0267830838042692</v>
      </c>
      <c r="F12" s="25" t="s">
        <v>235</v>
      </c>
    </row>
    <row r="13" customFormat="false" ht="15" hidden="false" customHeight="false" outlineLevel="0" collapsed="false">
      <c r="A13" s="5" t="s">
        <v>236</v>
      </c>
      <c r="B13" s="33" t="n">
        <f aca="false">內部成本錨點!$C$7</f>
        <v>2807</v>
      </c>
      <c r="C13" s="33" t="n">
        <f aca="false">SUM(C6:C12)</f>
        <v>5020</v>
      </c>
      <c r="D13" s="33" t="n">
        <f aca="false">外部基準!$D$5</f>
        <v>14400</v>
      </c>
      <c r="E13" s="32" t="n">
        <f aca="false">IF($C$36=0,0,C13/$C$36)</f>
        <v>0.298780179327626</v>
      </c>
      <c r="F13" s="25" t="s">
        <v>237</v>
      </c>
    </row>
    <row r="14" customFormat="false" ht="15" hidden="false" customHeight="false" outlineLevel="0" collapsed="false">
      <c r="A14" s="17" t="s">
        <v>238</v>
      </c>
      <c r="B14" s="19"/>
      <c r="C14" s="26" t="n">
        <f aca="false">內部成本錨點!$C$6</f>
        <v>8473</v>
      </c>
      <c r="D14" s="19"/>
      <c r="E14" s="32" t="n">
        <f aca="false">IF($C$36=0,0,C14/$C$36)</f>
        <v>0.504295709052385</v>
      </c>
      <c r="F14" s="15" t="s">
        <v>239</v>
      </c>
    </row>
    <row r="15" customFormat="false" ht="15" hidden="false" customHeight="false" outlineLevel="0" collapsed="false">
      <c r="A15" s="28" t="s">
        <v>240</v>
      </c>
      <c r="B15" s="29"/>
      <c r="C15" s="29"/>
      <c r="D15" s="29"/>
      <c r="E15" s="30" t="n">
        <f aca="false">IF($C$36=0,0,C15/$C$36)</f>
        <v>0</v>
      </c>
      <c r="F15" s="31"/>
    </row>
    <row r="16" customFormat="false" ht="15" hidden="false" customHeight="false" outlineLevel="0" collapsed="false">
      <c r="A16" s="17" t="s">
        <v>241</v>
      </c>
      <c r="B16" s="19" t="n">
        <v>500</v>
      </c>
      <c r="C16" s="19" t="n">
        <v>720</v>
      </c>
      <c r="D16" s="19" t="n">
        <v>800</v>
      </c>
      <c r="E16" s="32" t="n">
        <f aca="false">IF($C$36=0,0,C16/$C$36)</f>
        <v>0.0428529340868308</v>
      </c>
      <c r="F16" s="25" t="s">
        <v>242</v>
      </c>
    </row>
    <row r="17" customFormat="false" ht="15" hidden="false" customHeight="false" outlineLevel="0" collapsed="false">
      <c r="A17" s="17" t="s">
        <v>243</v>
      </c>
      <c r="B17" s="26" t="n">
        <f aca="false">B16*IF(假設!$B$16=2,假設!$B$15,假設!$B$14)</f>
        <v>2000</v>
      </c>
      <c r="C17" s="26" t="n">
        <f aca="false">C16*IF(假設!$B$16=2,假設!$B$15,假設!$B$14)</f>
        <v>2880</v>
      </c>
      <c r="D17" s="19"/>
      <c r="E17" s="32" t="n">
        <f aca="false">IF($C$36=0,0,C17/$C$36)</f>
        <v>0.171411736347323</v>
      </c>
      <c r="F17" s="15" t="s">
        <v>244</v>
      </c>
    </row>
    <row r="18" customFormat="false" ht="15" hidden="false" customHeight="false" outlineLevel="0" collapsed="false">
      <c r="A18" s="17" t="s">
        <v>245</v>
      </c>
      <c r="B18" s="19" t="n">
        <v>320</v>
      </c>
      <c r="C18" s="19" t="n">
        <v>420</v>
      </c>
      <c r="D18" s="19"/>
      <c r="E18" s="32" t="n">
        <f aca="false">IF($C$36=0,0,C18/$C$36)</f>
        <v>0.0249975448839846</v>
      </c>
      <c r="F18" s="25" t="s">
        <v>246</v>
      </c>
    </row>
    <row r="19" customFormat="false" ht="15" hidden="false" customHeight="false" outlineLevel="0" collapsed="false">
      <c r="A19" s="17" t="s">
        <v>247</v>
      </c>
      <c r="B19" s="19" t="n">
        <v>650</v>
      </c>
      <c r="C19" s="19" t="n">
        <v>900</v>
      </c>
      <c r="D19" s="19"/>
      <c r="E19" s="32" t="n">
        <f aca="false">IF($C$36=0,0,C19/$C$36)</f>
        <v>0.0535661676085384</v>
      </c>
      <c r="F19" s="25" t="s">
        <v>248</v>
      </c>
    </row>
    <row r="20" customFormat="false" ht="15" hidden="false" customHeight="false" outlineLevel="0" collapsed="false">
      <c r="A20" s="17" t="s">
        <v>249</v>
      </c>
      <c r="B20" s="19" t="n">
        <v>300</v>
      </c>
      <c r="C20" s="19" t="n">
        <v>380</v>
      </c>
      <c r="D20" s="19"/>
      <c r="E20" s="32" t="n">
        <f aca="false">IF($C$36=0,0,C20/$C$36)</f>
        <v>0.0226168263236051</v>
      </c>
      <c r="F20" s="25"/>
    </row>
    <row r="21" customFormat="false" ht="15" hidden="false" customHeight="false" outlineLevel="0" collapsed="false">
      <c r="A21" s="5" t="s">
        <v>250</v>
      </c>
      <c r="B21" s="33" t="n">
        <f aca="false">SUM(B17:B20)</f>
        <v>3270</v>
      </c>
      <c r="C21" s="33" t="n">
        <f aca="false">SUM(C17:C20)</f>
        <v>4580</v>
      </c>
      <c r="D21" s="33" t="n">
        <f aca="false">外部基準!$D$6</f>
        <v>13320</v>
      </c>
      <c r="E21" s="32" t="n">
        <f aca="false">IF($C$36=0,0,C21/$C$36)</f>
        <v>0.272592275163451</v>
      </c>
      <c r="F21" s="15" t="s">
        <v>251</v>
      </c>
    </row>
    <row r="22" customFormat="false" ht="15" hidden="false" customHeight="false" outlineLevel="0" collapsed="false">
      <c r="A22" s="17" t="s">
        <v>252</v>
      </c>
      <c r="B22" s="26" t="n">
        <f aca="false">內部成本錨點!$C$13</f>
        <v>4951</v>
      </c>
      <c r="C22" s="26" t="n">
        <f aca="false">內部成本錨點!$C$11</f>
        <v>7428</v>
      </c>
      <c r="D22" s="26" t="n">
        <f aca="false">內部成本錨點!$C$10</f>
        <v>8967</v>
      </c>
      <c r="E22" s="32" t="n">
        <f aca="false">IF($C$36=0,0,C22/$C$36)</f>
        <v>0.442099436662471</v>
      </c>
      <c r="F22" s="25" t="s">
        <v>253</v>
      </c>
    </row>
    <row r="23" customFormat="false" ht="15" hidden="false" customHeight="false" outlineLevel="0" collapsed="false">
      <c r="A23" s="28" t="s">
        <v>254</v>
      </c>
      <c r="B23" s="29"/>
      <c r="C23" s="29"/>
      <c r="D23" s="29"/>
      <c r="E23" s="30" t="n">
        <f aca="false">IF($C$36=0,0,C23/$C$36)</f>
        <v>0</v>
      </c>
      <c r="F23" s="31"/>
    </row>
    <row r="24" customFormat="false" ht="15" hidden="false" customHeight="false" outlineLevel="0" collapsed="false">
      <c r="A24" s="17" t="s">
        <v>255</v>
      </c>
      <c r="B24" s="26" t="n">
        <f aca="false">內部成本錨點!$C$17</f>
        <v>1126</v>
      </c>
      <c r="C24" s="19" t="n">
        <v>0</v>
      </c>
      <c r="D24" s="19" t="n">
        <v>0</v>
      </c>
      <c r="E24" s="32" t="n">
        <f aca="false">IF($C$36=0,0,C24/$C$36)</f>
        <v>0</v>
      </c>
      <c r="F24" s="25" t="s">
        <v>256</v>
      </c>
    </row>
    <row r="25" customFormat="false" ht="15" hidden="false" customHeight="false" outlineLevel="0" collapsed="false">
      <c r="A25" s="17" t="s">
        <v>257</v>
      </c>
      <c r="B25" s="26" t="n">
        <f aca="false">內部成本錨點!$C$20+150</f>
        <v>684</v>
      </c>
      <c r="C25" s="26" t="n">
        <f aca="false">內部成本錨點!$C$19+200</f>
        <v>1364</v>
      </c>
      <c r="D25" s="26" t="n">
        <f aca="false">外部基準!$D$7</f>
        <v>2700</v>
      </c>
      <c r="E25" s="32" t="n">
        <f aca="false">IF($C$36=0,0,C25/$C$36)</f>
        <v>0.0811825029089405</v>
      </c>
      <c r="F25" s="25" t="s">
        <v>258</v>
      </c>
    </row>
    <row r="26" customFormat="false" ht="15" hidden="false" customHeight="false" outlineLevel="0" collapsed="false">
      <c r="A26" s="17" t="s">
        <v>259</v>
      </c>
      <c r="B26" s="26" t="n">
        <f aca="false">內部成本錨點!$C$23</f>
        <v>1800</v>
      </c>
      <c r="C26" s="19" t="n">
        <v>0</v>
      </c>
      <c r="D26" s="19" t="n">
        <v>0</v>
      </c>
      <c r="E26" s="32" t="n">
        <f aca="false">IF($C$36=0,0,C26/$C$36)</f>
        <v>0</v>
      </c>
      <c r="F26" s="25" t="s">
        <v>260</v>
      </c>
    </row>
    <row r="27" customFormat="false" ht="15" hidden="false" customHeight="false" outlineLevel="0" collapsed="false">
      <c r="A27" s="17" t="s">
        <v>261</v>
      </c>
      <c r="B27" s="26" t="n">
        <f aca="false">內部成本錨點!$C$24+2*內部成本錨點!$C$25</f>
        <v>510</v>
      </c>
      <c r="C27" s="26" t="n">
        <f aca="false">內部成本錨點!$C$24+2*內部成本錨點!$C$25</f>
        <v>510</v>
      </c>
      <c r="D27" s="26" t="n">
        <f aca="false">內部成本錨點!$C$24+2*內部成本錨點!$C$25</f>
        <v>510</v>
      </c>
      <c r="E27" s="32" t="n">
        <f aca="false">IF($C$36=0,0,C27/$C$36)</f>
        <v>0.0303541616448385</v>
      </c>
      <c r="F27" s="15" t="s">
        <v>262</v>
      </c>
    </row>
    <row r="28" customFormat="false" ht="15" hidden="false" customHeight="false" outlineLevel="0" collapsed="false">
      <c r="A28" s="17" t="s">
        <v>263</v>
      </c>
      <c r="B28" s="26" t="n">
        <f aca="false">內部成本錨點!$C$27</f>
        <v>804</v>
      </c>
      <c r="C28" s="26" t="n">
        <f aca="false">內部成本錨點!$C$27+300</f>
        <v>1104</v>
      </c>
      <c r="D28" s="26" t="n">
        <f aca="false">外部基準!$D$8</f>
        <v>1620</v>
      </c>
      <c r="E28" s="32" t="n">
        <f aca="false">IF($C$36=0,0,C28/$C$36)</f>
        <v>0.0657078322664738</v>
      </c>
      <c r="F28" s="15" t="s">
        <v>264</v>
      </c>
    </row>
    <row r="29" customFormat="false" ht="15" hidden="false" customHeight="false" outlineLevel="0" collapsed="false">
      <c r="A29" s="17" t="s">
        <v>265</v>
      </c>
      <c r="B29" s="26" t="n">
        <f aca="false">內部成本錨點!$C$29</f>
        <v>771</v>
      </c>
      <c r="C29" s="26" t="n">
        <f aca="false">內部成本錨點!$C$28</f>
        <v>1264</v>
      </c>
      <c r="D29" s="26" t="n">
        <f aca="false">內部成本錨點!$C$28</f>
        <v>1264</v>
      </c>
      <c r="E29" s="32" t="n">
        <f aca="false">IF($C$36=0,0,C29/$C$36)</f>
        <v>0.0752307065079918</v>
      </c>
      <c r="F29" s="15" t="s">
        <v>262</v>
      </c>
    </row>
    <row r="30" customFormat="false" ht="15" hidden="false" customHeight="false" outlineLevel="0" collapsed="false">
      <c r="A30" s="17" t="s">
        <v>266</v>
      </c>
      <c r="B30" s="26" t="n">
        <f aca="false">內部成本錨點!$C$30</f>
        <v>532</v>
      </c>
      <c r="C30" s="26" t="n">
        <f aca="false">內部成本錨點!$C$31+250</f>
        <v>1228</v>
      </c>
      <c r="D30" s="26" t="n">
        <f aca="false">外部基準!$D$9</f>
        <v>1080</v>
      </c>
      <c r="E30" s="32" t="n">
        <f aca="false">IF($C$36=0,0,C30/$C$36)</f>
        <v>0.0730880598036502</v>
      </c>
      <c r="F30" s="25" t="s">
        <v>267</v>
      </c>
    </row>
    <row r="31" customFormat="false" ht="15" hidden="false" customHeight="false" outlineLevel="0" collapsed="false">
      <c r="A31" s="5" t="s">
        <v>268</v>
      </c>
      <c r="B31" s="33" t="n">
        <f aca="false">SUM(B24:B30)</f>
        <v>6227</v>
      </c>
      <c r="C31" s="33" t="n">
        <f aca="false">SUM(C24:C30)</f>
        <v>5470</v>
      </c>
      <c r="D31" s="33" t="n">
        <f aca="false">SUM(D24:D30)</f>
        <v>7174</v>
      </c>
      <c r="E31" s="32" t="n">
        <f aca="false">IF($C$36=0,0,C31/$C$36)</f>
        <v>0.325563263131895</v>
      </c>
      <c r="F31" s="25"/>
    </row>
    <row r="32" customFormat="false" ht="15" hidden="false" customHeight="false" outlineLevel="0" collapsed="false">
      <c r="A32" s="28" t="s">
        <v>269</v>
      </c>
      <c r="B32" s="29"/>
      <c r="C32" s="29"/>
      <c r="D32" s="29"/>
      <c r="E32" s="30" t="n">
        <f aca="false">IF($C$36=0,0,C32/$C$36)</f>
        <v>0</v>
      </c>
      <c r="F32" s="31"/>
    </row>
    <row r="33" customFormat="false" ht="15" hidden="false" customHeight="false" outlineLevel="0" collapsed="false">
      <c r="A33" s="5" t="s">
        <v>270</v>
      </c>
      <c r="B33" s="33" t="n">
        <f aca="false">B13+B21+B31</f>
        <v>12304</v>
      </c>
      <c r="C33" s="33" t="n">
        <f aca="false">C13+C21+C31</f>
        <v>15070</v>
      </c>
      <c r="D33" s="33" t="n">
        <f aca="false">D13+D21+D31</f>
        <v>34894</v>
      </c>
      <c r="E33" s="32" t="n">
        <f aca="false">IF($C$36=0,0,C33/$C$36)</f>
        <v>0.896935717622972</v>
      </c>
      <c r="F33" s="25"/>
    </row>
    <row r="34" customFormat="false" ht="15" hidden="false" customHeight="false" outlineLevel="0" collapsed="false">
      <c r="A34" s="17" t="s">
        <v>271</v>
      </c>
      <c r="B34" s="26" t="n">
        <f aca="false">B33*(假設!$B$8+假設!$B$9)</f>
        <v>1168.88</v>
      </c>
      <c r="C34" s="26" t="n">
        <f aca="false">C33*(假設!$B$8+假設!$B$9)</f>
        <v>1431.65</v>
      </c>
      <c r="D34" s="26" t="n">
        <f aca="false">D33*(假設!$B$8+假設!$B$9)*0.5</f>
        <v>1657.465</v>
      </c>
      <c r="E34" s="32" t="n">
        <f aca="false">IF($C$36=0,0,C34/$C$36)</f>
        <v>0.0852088931741823</v>
      </c>
      <c r="F34" s="25" t="s">
        <v>272</v>
      </c>
    </row>
    <row r="35" customFormat="false" ht="15" hidden="false" customHeight="false" outlineLevel="0" collapsed="false">
      <c r="A35" s="17" t="s">
        <v>273</v>
      </c>
      <c r="B35" s="26" t="n">
        <f aca="false">假設!$B$10/假設!$B$11/假設!$B$7*0.5</f>
        <v>150</v>
      </c>
      <c r="C35" s="26" t="n">
        <f aca="false">假設!$B$10/假設!$B$11/假設!$B$7</f>
        <v>300</v>
      </c>
      <c r="D35" s="19" t="n">
        <v>0</v>
      </c>
      <c r="E35" s="32" t="n">
        <f aca="false">IF($C$36=0,0,C35/$C$36)</f>
        <v>0.0178553892028462</v>
      </c>
      <c r="F35" s="25" t="s">
        <v>274</v>
      </c>
    </row>
    <row r="36" customFormat="false" ht="15" hidden="false" customHeight="false" outlineLevel="0" collapsed="false">
      <c r="A36" s="34" t="s">
        <v>275</v>
      </c>
      <c r="B36" s="35" t="n">
        <f aca="false">SUM(B33:B35)</f>
        <v>13622.88</v>
      </c>
      <c r="C36" s="35" t="n">
        <f aca="false">SUM(C33:C35)</f>
        <v>16801.65</v>
      </c>
      <c r="D36" s="35" t="n">
        <f aca="false">SUM(D33:D35)</f>
        <v>36551.465</v>
      </c>
      <c r="E36" s="36" t="n">
        <f aca="false">IF($C$36=0,0,C36/$C$36)</f>
        <v>1</v>
      </c>
      <c r="F36" s="37"/>
    </row>
    <row r="37" customFormat="false" ht="15" hidden="false" customHeight="false" outlineLevel="0" collapsed="false">
      <c r="A37" s="5" t="s">
        <v>276</v>
      </c>
      <c r="B37" s="33" t="n">
        <f aca="false">B36/(1-假設!$B$12)</f>
        <v>18920.6666666667</v>
      </c>
      <c r="C37" s="33" t="n">
        <f aca="false">C36/(1-假設!$B$12)</f>
        <v>23335.625</v>
      </c>
      <c r="D37" s="33" t="n">
        <f aca="false">D36/(1-假設!$B$12)</f>
        <v>50765.9236111111</v>
      </c>
      <c r="E37" s="32" t="n">
        <f aca="false">IF($C$40=0,0,C37/$C$40)</f>
        <v>43516.383794982</v>
      </c>
      <c r="F37" s="15" t="s">
        <v>277</v>
      </c>
    </row>
    <row r="38" customFormat="false" ht="15" hidden="false" customHeight="false" outlineLevel="0" collapsed="false">
      <c r="A38" s="17" t="s">
        <v>278</v>
      </c>
      <c r="B38" s="26" t="n">
        <f aca="false">B37/假設!$B$5</f>
        <v>610.344086021505</v>
      </c>
      <c r="C38" s="26" t="n">
        <f aca="false">C37/假設!$B$5</f>
        <v>752.762096774194</v>
      </c>
      <c r="D38" s="26" t="n">
        <f aca="false">D37/假設!$B$5</f>
        <v>1637.6104390681</v>
      </c>
      <c r="E38" s="32" t="n">
        <f aca="false">IF($C$40=0,0,C38/$C$40)</f>
        <v>1403.75431596716</v>
      </c>
      <c r="F38" s="25"/>
    </row>
    <row r="39" customFormat="false" ht="15" hidden="false" customHeight="false" outlineLevel="0" collapsed="false">
      <c r="A39" s="17" t="s">
        <v>279</v>
      </c>
      <c r="B39" s="26" t="n">
        <f aca="false">外部基準!$D$12</f>
        <v>8680</v>
      </c>
      <c r="C39" s="26" t="n">
        <f aca="false">外部基準!$D$11</f>
        <v>15190</v>
      </c>
      <c r="D39" s="26" t="n">
        <f aca="false">外部基準!$D$10</f>
        <v>33120</v>
      </c>
      <c r="E39" s="32" t="n">
        <f aca="false">IF($C$40=0,0,C39/$C$40)</f>
        <v>28326.383794982</v>
      </c>
      <c r="F39" s="25" t="s">
        <v>280</v>
      </c>
    </row>
    <row r="40" customFormat="false" ht="15" hidden="false" customHeight="false" outlineLevel="0" collapsed="false">
      <c r="A40" s="17" t="s">
        <v>281</v>
      </c>
      <c r="B40" s="32" t="n">
        <f aca="false">IF(B39=0,0,B37/B39-1)</f>
        <v>1.17980030721966</v>
      </c>
      <c r="C40" s="32" t="n">
        <f aca="false">IF(C39=0,0,C37/C39-1)</f>
        <v>0.536249177090191</v>
      </c>
      <c r="D40" s="32" t="n">
        <f aca="false">IF(D39=0,0,D37/D39-1)</f>
        <v>0.532787548644659</v>
      </c>
      <c r="E40" s="32" t="n">
        <f aca="false">IF($C$40=0,0,C40/$C$40)</f>
        <v>1</v>
      </c>
      <c r="F40" s="15" t="s">
        <v>282</v>
      </c>
    </row>
    <row r="41" customFormat="false" ht="15" hidden="false" customHeight="false" outlineLevel="0" collapsed="false">
      <c r="A41" s="17" t="s">
        <v>283</v>
      </c>
      <c r="B41" s="32" t="n">
        <f aca="false">B36/22000</f>
        <v>0.619221818181818</v>
      </c>
      <c r="C41" s="32" t="n">
        <f aca="false">C36/45000</f>
        <v>0.37337</v>
      </c>
      <c r="D41" s="32" t="n">
        <f aca="false">D36/80000</f>
        <v>0.4568933125</v>
      </c>
      <c r="E41" s="32" t="n">
        <f aca="false">IF($C$40=0,0,C41/$C$40)</f>
        <v>0.696262140719711</v>
      </c>
      <c r="F41" s="15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50"/>
  </cols>
  <sheetData>
    <row r="1" customFormat="false" ht="19.4" hidden="false" customHeight="false" outlineLevel="0" collapsed="false">
      <c r="A1" s="1" t="s">
        <v>285</v>
      </c>
    </row>
    <row r="2" customFormat="false" ht="15" hidden="false" customHeight="false" outlineLevel="0" collapsed="false">
      <c r="A2" s="27" t="s">
        <v>286</v>
      </c>
    </row>
    <row r="4" customFormat="false" ht="15" hidden="false" customHeight="false" outlineLevel="0" collapsed="false">
      <c r="A4" s="38" t="s">
        <v>287</v>
      </c>
      <c r="B4" s="38"/>
      <c r="C4" s="38"/>
      <c r="D4" s="38"/>
    </row>
    <row r="5" customFormat="false" ht="15" hidden="false" customHeight="false" outlineLevel="0" collapsed="false">
      <c r="A5" s="39" t="s">
        <v>129</v>
      </c>
      <c r="B5" s="39" t="s">
        <v>25</v>
      </c>
      <c r="C5" s="39" t="s">
        <v>26</v>
      </c>
      <c r="D5" s="39" t="s">
        <v>288</v>
      </c>
    </row>
    <row r="6" customFormat="false" ht="15" hidden="false" customHeight="false" outlineLevel="0" collapsed="false">
      <c r="A6" s="17" t="s">
        <v>289</v>
      </c>
      <c r="B6" s="26" t="n">
        <f aca="false">BOM分析!$C$36</f>
        <v>16801.65</v>
      </c>
      <c r="C6" s="14" t="s">
        <v>290</v>
      </c>
      <c r="D6" s="15" t="s">
        <v>291</v>
      </c>
    </row>
    <row r="7" customFormat="false" ht="15" hidden="false" customHeight="false" outlineLevel="0" collapsed="false">
      <c r="A7" s="17" t="s">
        <v>292</v>
      </c>
      <c r="B7" s="26" t="n">
        <f aca="false">BOM分析!$C$37</f>
        <v>23335.625</v>
      </c>
      <c r="C7" s="14" t="s">
        <v>290</v>
      </c>
      <c r="D7" s="15" t="s">
        <v>291</v>
      </c>
    </row>
    <row r="8" customFormat="false" ht="15" hidden="false" customHeight="false" outlineLevel="0" collapsed="false">
      <c r="A8" s="5" t="s">
        <v>293</v>
      </c>
      <c r="B8" s="35" t="n">
        <f aca="false">$B$7-$B$6</f>
        <v>6533.975</v>
      </c>
      <c r="C8" s="14" t="s">
        <v>290</v>
      </c>
      <c r="D8" s="25"/>
    </row>
    <row r="9" customFormat="false" ht="15" hidden="false" customHeight="false" outlineLevel="0" collapsed="false">
      <c r="A9" s="17" t="s">
        <v>294</v>
      </c>
      <c r="B9" s="19" t="n">
        <v>600</v>
      </c>
      <c r="C9" s="14" t="s">
        <v>290</v>
      </c>
      <c r="D9" s="15" t="s">
        <v>295</v>
      </c>
    </row>
    <row r="10" customFormat="false" ht="15" hidden="false" customHeight="false" outlineLevel="0" collapsed="false">
      <c r="A10" s="12" t="s">
        <v>296</v>
      </c>
      <c r="B10" s="35" t="n">
        <f aca="false">$B$8+$B$9</f>
        <v>7133.975</v>
      </c>
      <c r="C10" s="14" t="s">
        <v>290</v>
      </c>
      <c r="D10" s="25"/>
    </row>
    <row r="12" customFormat="false" ht="15" hidden="false" customHeight="false" outlineLevel="0" collapsed="false">
      <c r="A12" s="38" t="s">
        <v>297</v>
      </c>
      <c r="B12" s="38"/>
      <c r="C12" s="38"/>
      <c r="D12" s="38"/>
    </row>
    <row r="13" customFormat="false" ht="15" hidden="false" customHeight="false" outlineLevel="0" collapsed="false">
      <c r="A13" s="39" t="s">
        <v>129</v>
      </c>
      <c r="B13" s="39" t="s">
        <v>25</v>
      </c>
      <c r="C13" s="39" t="s">
        <v>26</v>
      </c>
      <c r="D13" s="39" t="s">
        <v>288</v>
      </c>
    </row>
    <row r="14" customFormat="false" ht="15" hidden="false" customHeight="false" outlineLevel="0" collapsed="false">
      <c r="A14" s="17" t="s">
        <v>298</v>
      </c>
      <c r="B14" s="26" t="n">
        <f aca="false">外部基準!$D$13</f>
        <v>1439.64</v>
      </c>
      <c r="C14" s="14" t="s">
        <v>299</v>
      </c>
      <c r="D14" s="15" t="s">
        <v>300</v>
      </c>
    </row>
    <row r="15" customFormat="false" ht="15" hidden="false" customHeight="false" outlineLevel="0" collapsed="false">
      <c r="A15" s="17" t="s">
        <v>301</v>
      </c>
      <c r="B15" s="18" t="n">
        <v>0.2</v>
      </c>
      <c r="C15" s="14" t="s">
        <v>48</v>
      </c>
      <c r="D15" s="15" t="s">
        <v>302</v>
      </c>
    </row>
    <row r="16" customFormat="false" ht="15" hidden="false" customHeight="false" outlineLevel="0" collapsed="false">
      <c r="A16" s="17" t="s">
        <v>303</v>
      </c>
      <c r="B16" s="18" t="n">
        <v>0.25</v>
      </c>
      <c r="C16" s="14" t="s">
        <v>51</v>
      </c>
      <c r="D16" s="15" t="s">
        <v>41</v>
      </c>
    </row>
    <row r="17" customFormat="false" ht="15" hidden="false" customHeight="false" outlineLevel="0" collapsed="false">
      <c r="A17" s="17" t="s">
        <v>304</v>
      </c>
      <c r="B17" s="40" t="n">
        <f aca="false">1/$B$16</f>
        <v>4</v>
      </c>
      <c r="C17" s="17" t="s">
        <v>46</v>
      </c>
      <c r="D17" s="15" t="s">
        <v>305</v>
      </c>
    </row>
    <row r="18" customFormat="false" ht="15" hidden="false" customHeight="false" outlineLevel="0" collapsed="false">
      <c r="A18" s="14" t="s">
        <v>306</v>
      </c>
      <c r="B18" s="18" t="n">
        <v>0.15</v>
      </c>
      <c r="C18" s="14" t="s">
        <v>48</v>
      </c>
      <c r="D18" s="15" t="s">
        <v>307</v>
      </c>
    </row>
    <row r="19" customFormat="false" ht="15" hidden="false" customHeight="false" outlineLevel="0" collapsed="false">
      <c r="A19" s="17" t="s">
        <v>308</v>
      </c>
      <c r="B19" s="19" t="n">
        <v>350</v>
      </c>
      <c r="C19" s="14" t="s">
        <v>299</v>
      </c>
      <c r="D19" s="15" t="s">
        <v>309</v>
      </c>
    </row>
    <row r="20" customFormat="false" ht="15" hidden="false" customHeight="false" outlineLevel="0" collapsed="false">
      <c r="A20" s="14" t="s">
        <v>310</v>
      </c>
      <c r="B20" s="26" t="n">
        <f aca="false">BOM分析!$C$28</f>
        <v>1104</v>
      </c>
      <c r="C20" s="14" t="s">
        <v>290</v>
      </c>
      <c r="D20" s="15" t="s">
        <v>311</v>
      </c>
    </row>
    <row r="21" customFormat="false" ht="15" hidden="false" customHeight="false" outlineLevel="0" collapsed="false">
      <c r="A21" s="14" t="s">
        <v>312</v>
      </c>
      <c r="B21" s="18" t="n">
        <v>1</v>
      </c>
      <c r="C21" s="14" t="s">
        <v>48</v>
      </c>
      <c r="D21" s="25" t="s">
        <v>313</v>
      </c>
    </row>
    <row r="22" customFormat="false" ht="15" hidden="false" customHeight="false" outlineLevel="0" collapsed="false">
      <c r="A22" s="17" t="s">
        <v>314</v>
      </c>
      <c r="B22" s="19" t="n">
        <v>25000</v>
      </c>
      <c r="C22" s="17" t="s">
        <v>35</v>
      </c>
      <c r="D22" s="15" t="s">
        <v>315</v>
      </c>
    </row>
    <row r="23" customFormat="false" ht="15" hidden="false" customHeight="false" outlineLevel="0" collapsed="false">
      <c r="A23" s="17" t="s">
        <v>316</v>
      </c>
      <c r="B23" s="26" t="n">
        <f aca="false">12000000/$B$22</f>
        <v>480</v>
      </c>
      <c r="C23" s="14" t="s">
        <v>290</v>
      </c>
      <c r="D23" s="15" t="s">
        <v>317</v>
      </c>
    </row>
    <row r="24" customFormat="false" ht="15" hidden="false" customHeight="false" outlineLevel="0" collapsed="false">
      <c r="A24" s="5" t="s">
        <v>318</v>
      </c>
      <c r="B24" s="35" t="n">
        <f aca="false">$B$15*$B$17*($B$14*(1-$B$18)-$B$19)</f>
        <v>698.9552</v>
      </c>
      <c r="C24" s="14" t="s">
        <v>290</v>
      </c>
      <c r="D24" s="15" t="s">
        <v>319</v>
      </c>
    </row>
    <row r="25" customFormat="false" ht="15" hidden="false" customHeight="false" outlineLevel="0" collapsed="false">
      <c r="A25" s="5" t="s">
        <v>320</v>
      </c>
      <c r="B25" s="35" t="n">
        <f aca="false">$B$24-(1-$B$21)*$B$20-$B$23</f>
        <v>218.9552</v>
      </c>
      <c r="C25" s="14" t="s">
        <v>290</v>
      </c>
      <c r="D25" s="25"/>
    </row>
    <row r="26" customFormat="false" ht="15" hidden="false" customHeight="false" outlineLevel="0" collapsed="false">
      <c r="A26" s="5" t="s">
        <v>321</v>
      </c>
      <c r="B26" s="41" t="n">
        <f aca="false">IF(($B$17*($B$14*(1-$B$18)-$B$19))=0,0,((1-$B$21)*$B$20+$B$23)/($B$17*($B$14*(1-$B$18)-$B$19)))</f>
        <v>0.137347858632427</v>
      </c>
      <c r="C26" s="14" t="s">
        <v>48</v>
      </c>
      <c r="D26" s="15" t="s">
        <v>322</v>
      </c>
    </row>
    <row r="27" customFormat="false" ht="15" hidden="false" customHeight="false" outlineLevel="0" collapsed="false">
      <c r="A27" s="5" t="s">
        <v>323</v>
      </c>
      <c r="B27" s="41" t="n">
        <f aca="false">IF($B$8=0,0,$B$25/$B$8)</f>
        <v>0.0335102598341744</v>
      </c>
      <c r="C27" s="14" t="s">
        <v>48</v>
      </c>
      <c r="D27" s="25"/>
    </row>
    <row r="29" customFormat="false" ht="15" hidden="false" customHeight="false" outlineLevel="0" collapsed="false">
      <c r="A29" s="38" t="s">
        <v>324</v>
      </c>
      <c r="B29" s="38"/>
      <c r="C29" s="38"/>
      <c r="D29" s="38"/>
    </row>
    <row r="30" customFormat="false" ht="15" hidden="false" customHeight="false" outlineLevel="0" collapsed="false">
      <c r="A30" s="39" t="s">
        <v>129</v>
      </c>
      <c r="B30" s="39" t="s">
        <v>25</v>
      </c>
      <c r="C30" s="39" t="s">
        <v>26</v>
      </c>
      <c r="D30" s="39" t="s">
        <v>288</v>
      </c>
    </row>
    <row r="31" customFormat="false" ht="15" hidden="false" customHeight="false" outlineLevel="0" collapsed="false">
      <c r="A31" s="17" t="s">
        <v>325</v>
      </c>
      <c r="B31" s="26" t="n">
        <f aca="false">BOM分析!$C$21</f>
        <v>4580</v>
      </c>
      <c r="C31" s="14" t="s">
        <v>326</v>
      </c>
      <c r="D31" s="15" t="s">
        <v>291</v>
      </c>
    </row>
    <row r="32" customFormat="false" ht="15" hidden="false" customHeight="false" outlineLevel="0" collapsed="false">
      <c r="A32" s="17" t="s">
        <v>327</v>
      </c>
      <c r="B32" s="26" t="n">
        <f aca="false">外部基準!$D$14</f>
        <v>716.4</v>
      </c>
      <c r="C32" s="14" t="s">
        <v>193</v>
      </c>
      <c r="D32" s="15" t="s">
        <v>328</v>
      </c>
    </row>
    <row r="33" customFormat="false" ht="15" hidden="false" customHeight="false" outlineLevel="0" collapsed="false">
      <c r="A33" s="17" t="s">
        <v>329</v>
      </c>
      <c r="B33" s="18" t="n">
        <v>0.35</v>
      </c>
      <c r="C33" s="14" t="s">
        <v>48</v>
      </c>
      <c r="D33" s="15" t="s">
        <v>330</v>
      </c>
    </row>
    <row r="34" customFormat="false" ht="15" hidden="false" customHeight="false" outlineLevel="0" collapsed="false">
      <c r="A34" s="17" t="s">
        <v>331</v>
      </c>
      <c r="B34" s="26" t="n">
        <f aca="false">$B$31/(1-假設!$B$12)</f>
        <v>6361.11111111111</v>
      </c>
      <c r="C34" s="14" t="s">
        <v>290</v>
      </c>
      <c r="D34" s="15" t="s">
        <v>332</v>
      </c>
    </row>
    <row r="35" customFormat="false" ht="15" hidden="false" customHeight="false" outlineLevel="0" collapsed="false">
      <c r="A35" s="17" t="s">
        <v>333</v>
      </c>
      <c r="B35" s="19" t="n">
        <v>48</v>
      </c>
      <c r="C35" s="17" t="s">
        <v>334</v>
      </c>
      <c r="D35" s="15" t="s">
        <v>335</v>
      </c>
    </row>
    <row r="36" customFormat="false" ht="15" hidden="false" customHeight="false" outlineLevel="0" collapsed="false">
      <c r="A36" s="17" t="s">
        <v>336</v>
      </c>
      <c r="B36" s="19" t="n">
        <v>800</v>
      </c>
      <c r="C36" s="14" t="s">
        <v>206</v>
      </c>
      <c r="D36" s="15" t="s">
        <v>337</v>
      </c>
    </row>
    <row r="37" customFormat="false" ht="15" hidden="false" customHeight="false" outlineLevel="0" collapsed="false">
      <c r="A37" s="17" t="s">
        <v>338</v>
      </c>
      <c r="B37" s="19" t="n">
        <v>150</v>
      </c>
      <c r="C37" s="14" t="s">
        <v>339</v>
      </c>
      <c r="D37" s="15" t="s">
        <v>340</v>
      </c>
    </row>
    <row r="38" customFormat="false" ht="15" hidden="false" customHeight="false" outlineLevel="0" collapsed="false">
      <c r="A38" s="17" t="s">
        <v>341</v>
      </c>
      <c r="B38" s="32" t="n">
        <f aca="false">MIN(1,MAX(0,($B$35/12*$B$37-$B$36)/$B$36))+0.08</f>
        <v>0.08</v>
      </c>
      <c r="C38" s="14" t="s">
        <v>48</v>
      </c>
      <c r="D38" s="15" t="s">
        <v>342</v>
      </c>
    </row>
    <row r="39" customFormat="false" ht="15" hidden="false" customHeight="false" outlineLevel="0" collapsed="false">
      <c r="A39" s="17" t="s">
        <v>343</v>
      </c>
      <c r="B39" s="19" t="n">
        <v>60</v>
      </c>
      <c r="C39" s="14" t="s">
        <v>193</v>
      </c>
      <c r="D39" s="15" t="s">
        <v>41</v>
      </c>
    </row>
    <row r="40" customFormat="false" ht="15" hidden="false" customHeight="false" outlineLevel="0" collapsed="false">
      <c r="A40" s="17" t="s">
        <v>344</v>
      </c>
      <c r="B40" s="18" t="n">
        <v>0.1</v>
      </c>
      <c r="C40" s="14" t="s">
        <v>345</v>
      </c>
      <c r="D40" s="15" t="s">
        <v>41</v>
      </c>
    </row>
    <row r="41" customFormat="false" ht="15" hidden="false" customHeight="false" outlineLevel="0" collapsed="false">
      <c r="A41" s="17" t="s">
        <v>346</v>
      </c>
      <c r="B41" s="18" t="n">
        <v>0.03</v>
      </c>
      <c r="C41" s="14" t="s">
        <v>347</v>
      </c>
      <c r="D41" s="15" t="s">
        <v>41</v>
      </c>
    </row>
    <row r="42" customFormat="false" ht="15" hidden="false" customHeight="false" outlineLevel="0" collapsed="false">
      <c r="A42" s="5" t="s">
        <v>348</v>
      </c>
      <c r="B42" s="35" t="n">
        <f aca="false">$B$32*(1-$B$33)*$B$35</f>
        <v>22351.68</v>
      </c>
      <c r="C42" s="14" t="s">
        <v>43</v>
      </c>
      <c r="D42" s="25"/>
    </row>
    <row r="43" customFormat="false" ht="15" hidden="false" customHeight="false" outlineLevel="0" collapsed="false">
      <c r="A43" s="5" t="s">
        <v>349</v>
      </c>
      <c r="B43" s="35" t="n">
        <f aca="false">$B$31*(1+$B$38)-$B$31*$B$40+$B$39*$B$35+$B$42*$B$41</f>
        <v>8038.9504</v>
      </c>
      <c r="C43" s="14" t="s">
        <v>43</v>
      </c>
      <c r="D43" s="15" t="s">
        <v>350</v>
      </c>
    </row>
    <row r="44" customFormat="false" ht="15" hidden="false" customHeight="false" outlineLevel="0" collapsed="false">
      <c r="A44" s="5" t="s">
        <v>351</v>
      </c>
      <c r="B44" s="35" t="n">
        <f aca="false">$B$42-$B$43</f>
        <v>14312.7296</v>
      </c>
      <c r="C44" s="14" t="s">
        <v>43</v>
      </c>
      <c r="D44" s="25"/>
    </row>
    <row r="45" customFormat="false" ht="15" hidden="false" customHeight="false" outlineLevel="0" collapsed="false">
      <c r="A45" s="12" t="s">
        <v>352</v>
      </c>
      <c r="B45" s="35" t="n">
        <f aca="false">-$B$31+PV(假設!$B$13/12,$B$35,-($B$32*(1-$B$33)*(1-$B$41)-$B$39))-PV(假設!$B$13/12,$B$35,0,-($B$31*$B$38-$B$31*$B$40))</f>
        <v>11846.347772796</v>
      </c>
      <c r="C45" s="14" t="s">
        <v>43</v>
      </c>
      <c r="D45" s="15" t="s">
        <v>353</v>
      </c>
    </row>
    <row r="46" customFormat="false" ht="15" hidden="false" customHeight="false" outlineLevel="0" collapsed="false">
      <c r="A46" s="5" t="s">
        <v>354</v>
      </c>
      <c r="B46" s="42" t="n">
        <f aca="false">IF(($B$32*(1-$B$33)*(1-$B$41)-$B$39)&lt;=0,0,$B$31/($B$32*(1-$B$33)*(1-$B$41)-$B$39))</f>
        <v>11.6929144512679</v>
      </c>
      <c r="C46" s="17" t="s">
        <v>334</v>
      </c>
      <c r="D46" s="25"/>
    </row>
    <row r="47" customFormat="false" ht="15" hidden="false" customHeight="false" outlineLevel="0" collapsed="false">
      <c r="A47" s="5" t="s">
        <v>355</v>
      </c>
      <c r="B47" s="35" t="n">
        <f aca="false">$B$10-($B$34-$B$31)+$B$44</f>
        <v>19665.5934888889</v>
      </c>
      <c r="C47" s="14" t="s">
        <v>290</v>
      </c>
      <c r="D47" s="25"/>
    </row>
    <row r="48" customFormat="false" ht="15" hidden="false" customHeight="false" outlineLevel="0" collapsed="false">
      <c r="A48" s="12" t="s">
        <v>356</v>
      </c>
      <c r="B48" s="41" t="n">
        <f aca="false">IF($B$10=0,0,$B$47/$B$10-1)</f>
        <v>1.75661093414105</v>
      </c>
      <c r="C48" s="14" t="s">
        <v>48</v>
      </c>
      <c r="D48" s="25"/>
    </row>
    <row r="50" customFormat="false" ht="15" hidden="false" customHeight="false" outlineLevel="0" collapsed="false">
      <c r="A50" s="38" t="s">
        <v>357</v>
      </c>
      <c r="B50" s="38"/>
      <c r="C50" s="38"/>
      <c r="D50" s="38"/>
    </row>
    <row r="51" customFormat="false" ht="15" hidden="false" customHeight="false" outlineLevel="0" collapsed="false">
      <c r="A51" s="39" t="s">
        <v>129</v>
      </c>
      <c r="B51" s="39" t="s">
        <v>25</v>
      </c>
      <c r="C51" s="39" t="s">
        <v>26</v>
      </c>
      <c r="D51" s="39" t="s">
        <v>288</v>
      </c>
    </row>
    <row r="52" customFormat="false" ht="15" hidden="false" customHeight="false" outlineLevel="0" collapsed="false">
      <c r="A52" s="17" t="s">
        <v>289</v>
      </c>
      <c r="B52" s="26" t="n">
        <f aca="false">BOM分析!$C$36</f>
        <v>16801.65</v>
      </c>
      <c r="C52" s="14" t="s">
        <v>290</v>
      </c>
      <c r="D52" s="15" t="s">
        <v>291</v>
      </c>
    </row>
    <row r="53" customFormat="false" ht="15" hidden="false" customHeight="false" outlineLevel="0" collapsed="false">
      <c r="A53" s="17" t="s">
        <v>358</v>
      </c>
      <c r="B53" s="19" t="n">
        <v>1200</v>
      </c>
      <c r="C53" s="14" t="s">
        <v>193</v>
      </c>
      <c r="D53" s="15" t="s">
        <v>359</v>
      </c>
    </row>
    <row r="54" customFormat="false" ht="15" hidden="false" customHeight="false" outlineLevel="0" collapsed="false">
      <c r="A54" s="17" t="s">
        <v>360</v>
      </c>
      <c r="B54" s="18" t="n">
        <v>0.25</v>
      </c>
      <c r="C54" s="14" t="s">
        <v>48</v>
      </c>
      <c r="D54" s="15" t="s">
        <v>361</v>
      </c>
    </row>
    <row r="55" customFormat="false" ht="15" hidden="false" customHeight="false" outlineLevel="0" collapsed="false">
      <c r="A55" s="17" t="s">
        <v>362</v>
      </c>
      <c r="B55" s="19" t="n">
        <v>36</v>
      </c>
      <c r="C55" s="17" t="s">
        <v>334</v>
      </c>
      <c r="D55" s="25"/>
    </row>
    <row r="56" customFormat="false" ht="15" hidden="false" customHeight="false" outlineLevel="0" collapsed="false">
      <c r="A56" s="17" t="s">
        <v>363</v>
      </c>
      <c r="B56" s="19" t="n">
        <v>180</v>
      </c>
      <c r="C56" s="14" t="s">
        <v>193</v>
      </c>
      <c r="D56" s="15" t="s">
        <v>364</v>
      </c>
    </row>
    <row r="57" customFormat="false" ht="15" hidden="false" customHeight="false" outlineLevel="0" collapsed="false">
      <c r="A57" s="17" t="s">
        <v>365</v>
      </c>
      <c r="B57" s="18" t="n">
        <v>0.04</v>
      </c>
      <c r="C57" s="14" t="s">
        <v>51</v>
      </c>
      <c r="D57" s="15" t="s">
        <v>366</v>
      </c>
    </row>
    <row r="58" customFormat="false" ht="15" hidden="false" customHeight="false" outlineLevel="0" collapsed="false">
      <c r="A58" s="17" t="s">
        <v>367</v>
      </c>
      <c r="B58" s="18" t="n">
        <v>0.15</v>
      </c>
      <c r="C58" s="14" t="s">
        <v>345</v>
      </c>
      <c r="D58" s="15" t="s">
        <v>368</v>
      </c>
    </row>
    <row r="59" customFormat="false" ht="15" hidden="false" customHeight="false" outlineLevel="0" collapsed="false">
      <c r="A59" s="5" t="s">
        <v>348</v>
      </c>
      <c r="B59" s="35" t="n">
        <f aca="false">$B$53*(1-$B$54)*$B$55</f>
        <v>32400</v>
      </c>
      <c r="C59" s="14" t="s">
        <v>43</v>
      </c>
      <c r="D59" s="25"/>
    </row>
    <row r="60" customFormat="false" ht="15" hidden="false" customHeight="false" outlineLevel="0" collapsed="false">
      <c r="A60" s="5" t="s">
        <v>349</v>
      </c>
      <c r="B60" s="35" t="n">
        <f aca="false">$B$52*(1+$B$57*$B$55/12)-$B$52*$B$58+$B$56*$B$55</f>
        <v>22777.6005</v>
      </c>
      <c r="C60" s="14" t="s">
        <v>43</v>
      </c>
      <c r="D60" s="15" t="s">
        <v>369</v>
      </c>
    </row>
    <row r="61" customFormat="false" ht="15" hidden="false" customHeight="false" outlineLevel="0" collapsed="false">
      <c r="A61" s="5" t="s">
        <v>351</v>
      </c>
      <c r="B61" s="35" t="n">
        <f aca="false">$B$59-$B$60</f>
        <v>9622.3995</v>
      </c>
      <c r="C61" s="14" t="s">
        <v>43</v>
      </c>
      <c r="D61" s="25"/>
    </row>
    <row r="62" customFormat="false" ht="15" hidden="false" customHeight="false" outlineLevel="0" collapsed="false">
      <c r="A62" s="12" t="s">
        <v>352</v>
      </c>
      <c r="B62" s="35" t="n">
        <f aca="false">-$B$52+PV(假設!$B$13/12,$B$55,-($B$53*(1-$B$54)-$B$56-$B$52*$B$57/12))+$B$52*$B$58/(1+假設!$B$13/12)^$B$55</f>
        <v>6746.9039849329</v>
      </c>
      <c r="C62" s="14" t="s">
        <v>43</v>
      </c>
      <c r="D62" s="25"/>
    </row>
    <row r="63" customFormat="false" ht="15" hidden="false" customHeight="false" outlineLevel="0" collapsed="false">
      <c r="A63" s="5" t="s">
        <v>370</v>
      </c>
      <c r="B63" s="42" t="n">
        <f aca="false">IF(($B$53*(1-$B$54)-$B$56-$B$52*$B$57/12)&lt;=0,0,$B$52/($B$53*(1-$B$54)-$B$56-$B$52*$B$57/12))</f>
        <v>25.303899354588</v>
      </c>
      <c r="C63" s="17" t="s">
        <v>334</v>
      </c>
      <c r="D63" s="25"/>
    </row>
    <row r="64" customFormat="false" ht="15" hidden="false" customHeight="false" outlineLevel="0" collapsed="false">
      <c r="A64" s="12" t="s">
        <v>371</v>
      </c>
      <c r="B64" s="43" t="n">
        <f aca="false">IF($B$8=0,0,$B$61/$B$8)</f>
        <v>1.47267161260948</v>
      </c>
      <c r="C64" s="14" t="s">
        <v>372</v>
      </c>
      <c r="D64" s="25" t="s">
        <v>373</v>
      </c>
    </row>
    <row r="65" customFormat="false" ht="15" hidden="false" customHeight="false" outlineLevel="0" collapsed="false">
      <c r="A65" s="17" t="s">
        <v>374</v>
      </c>
      <c r="B65" s="26" t="n">
        <f aca="false">$B$52</f>
        <v>16801.65</v>
      </c>
      <c r="C65" s="14" t="s">
        <v>290</v>
      </c>
      <c r="D65" s="25" t="s">
        <v>375</v>
      </c>
    </row>
    <row r="67" customFormat="false" ht="14.9" hidden="false" customHeight="false" outlineLevel="0" collapsed="false">
      <c r="A67" s="44" t="s">
        <v>376</v>
      </c>
      <c r="B67" s="44"/>
      <c r="C67" s="44"/>
      <c r="D67" s="44"/>
      <c r="E67" s="44"/>
      <c r="F67" s="44"/>
    </row>
    <row r="68" customFormat="false" ht="15" hidden="false" customHeight="false" outlineLevel="0" collapsed="false">
      <c r="A68" s="39" t="s">
        <v>377</v>
      </c>
      <c r="B68" s="39" t="s">
        <v>378</v>
      </c>
      <c r="C68" s="39" t="s">
        <v>379</v>
      </c>
      <c r="D68" s="45" t="s">
        <v>380</v>
      </c>
      <c r="E68" s="39" t="s">
        <v>381</v>
      </c>
      <c r="F68" s="39" t="s">
        <v>382</v>
      </c>
    </row>
    <row r="69" customFormat="false" ht="15" hidden="false" customHeight="false" outlineLevel="0" collapsed="false">
      <c r="A69" s="12" t="s">
        <v>383</v>
      </c>
      <c r="B69" s="26" t="n">
        <f aca="false">$B$7</f>
        <v>23335.625</v>
      </c>
      <c r="C69" s="26" t="n">
        <f aca="false">$B$10</f>
        <v>7133.975</v>
      </c>
      <c r="D69" s="46" t="n">
        <f aca="false">1</f>
        <v>1</v>
      </c>
      <c r="E69" s="26" t="n">
        <f aca="false">0</f>
        <v>0</v>
      </c>
      <c r="F69" s="15" t="s">
        <v>384</v>
      </c>
    </row>
    <row r="70" customFormat="false" ht="15" hidden="false" customHeight="false" outlineLevel="0" collapsed="false">
      <c r="A70" s="12" t="s">
        <v>385</v>
      </c>
      <c r="B70" s="26" t="n">
        <f aca="false">$B$7+$B$15*$B$17*$B$14</f>
        <v>24487.337</v>
      </c>
      <c r="C70" s="26" t="n">
        <f aca="false">$B$10+$B$25</f>
        <v>7352.9302</v>
      </c>
      <c r="D70" s="46" t="n">
        <f aca="false">IF($B$10=0,0,($B$10+$B$25)/$B$10)</f>
        <v>1.03069189336941</v>
      </c>
      <c r="E70" s="26" t="n">
        <f aca="false">$B$20</f>
        <v>1104</v>
      </c>
      <c r="F70" s="15" t="s">
        <v>386</v>
      </c>
    </row>
    <row r="71" customFormat="false" ht="15" hidden="false" customHeight="false" outlineLevel="0" collapsed="false">
      <c r="A71" s="12" t="s">
        <v>387</v>
      </c>
      <c r="B71" s="26" t="n">
        <f aca="false">$B$7-$B$34+$B$42</f>
        <v>39326.1938888889</v>
      </c>
      <c r="C71" s="26" t="n">
        <f aca="false">$B$47</f>
        <v>19665.5934888889</v>
      </c>
      <c r="D71" s="46" t="n">
        <f aca="false">IF($B$10=0,0,$B$47/$B$10)</f>
        <v>2.75661093414105</v>
      </c>
      <c r="E71" s="26" t="n">
        <f aca="false">$B$31</f>
        <v>4580</v>
      </c>
      <c r="F71" s="15" t="s">
        <v>388</v>
      </c>
    </row>
    <row r="72" customFormat="false" ht="15" hidden="false" customHeight="false" outlineLevel="0" collapsed="false">
      <c r="A72" s="12" t="s">
        <v>389</v>
      </c>
      <c r="B72" s="26" t="n">
        <f aca="false">$B$59</f>
        <v>32400</v>
      </c>
      <c r="C72" s="26" t="n">
        <f aca="false">$B$61</f>
        <v>9622.3995</v>
      </c>
      <c r="D72" s="46" t="n">
        <f aca="false">IF($B$10=0,0,$B$61/$B$10)</f>
        <v>1.34881317918832</v>
      </c>
      <c r="E72" s="26" t="n">
        <f aca="false">$B$52</f>
        <v>16801.65</v>
      </c>
      <c r="F72" s="15" t="s">
        <v>390</v>
      </c>
    </row>
  </sheetData>
  <mergeCells count="5">
    <mergeCell ref="A4:D4"/>
    <mergeCell ref="A12:D12"/>
    <mergeCell ref="A29:D29"/>
    <mergeCell ref="A50:D50"/>
    <mergeCell ref="A67:F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391</v>
      </c>
    </row>
    <row r="3" customFormat="false" ht="15" hidden="false" customHeight="false" outlineLevel="0" collapsed="false">
      <c r="A3" s="47" t="s">
        <v>392</v>
      </c>
    </row>
    <row r="4" customFormat="false" ht="15" hidden="false" customHeight="false" outlineLevel="0" collapsed="false">
      <c r="A4" s="39" t="s">
        <v>393</v>
      </c>
      <c r="B4" s="48" t="n">
        <v>4500</v>
      </c>
      <c r="C4" s="48" t="n">
        <v>5500</v>
      </c>
      <c r="D4" s="48" t="n">
        <v>6500</v>
      </c>
      <c r="E4" s="48" t="n">
        <v>7500</v>
      </c>
      <c r="F4" s="48" t="n">
        <v>8500</v>
      </c>
    </row>
    <row r="5" customFormat="false" ht="15" hidden="false" customHeight="false" outlineLevel="0" collapsed="false">
      <c r="A5" s="19" t="n">
        <v>299</v>
      </c>
      <c r="B5" s="26" t="n">
        <f aca="false">-B$4+PV(假設!$B$13/12,訂閱模式!$B$35,-($A5*(1-訂閱模式!$B$33)*(1-訂閱模式!$B$41)-訂閱模式!$B$39))-PV(假設!$B$13/12,訂閱模式!$B$35,0,-(B$4*訂閱模式!$B$38-B$4*訂閱模式!$B$40))</f>
        <v>935.076098748209</v>
      </c>
      <c r="C5" s="26" t="n">
        <f aca="false">-C$4+PV(假設!$B$13/12,訂閱模式!$B$35,-($A5*(1-訂閱模式!$B$33)*(1-訂閱模式!$B$41)-訂閱模式!$B$39))-PV(假設!$B$13/12,訂閱模式!$B$35,0,-(C$4*訂閱模式!$B$38-C$4*訂閱模式!$B$40))</f>
        <v>-49.7959247490556</v>
      </c>
      <c r="D5" s="26" t="n">
        <f aca="false">-D$4+PV(假設!$B$13/12,訂閱模式!$B$35,-($A5*(1-訂閱模式!$B$33)*(1-訂閱模式!$B$41)-訂閱模式!$B$39))-PV(假設!$B$13/12,訂閱模式!$B$35,0,-(D$4*訂閱模式!$B$38-D$4*訂閱模式!$B$40))</f>
        <v>-1034.66794824632</v>
      </c>
      <c r="E5" s="26" t="n">
        <f aca="false">-E$4+PV(假設!$B$13/12,訂閱模式!$B$35,-($A5*(1-訂閱模式!$B$33)*(1-訂閱模式!$B$41)-訂閱模式!$B$39))-PV(假設!$B$13/12,訂閱模式!$B$35,0,-(E$4*訂閱模式!$B$38-E$4*訂閱模式!$B$40))</f>
        <v>-2019.53997174358</v>
      </c>
      <c r="F5" s="26" t="n">
        <f aca="false">-F$4+PV(假設!$B$13/12,訂閱模式!$B$35,-($A5*(1-訂閱模式!$B$33)*(1-訂閱模式!$B$41)-訂閱模式!$B$39))-PV(假設!$B$13/12,訂閱模式!$B$35,0,-(F$4*訂閱模式!$B$38-F$4*訂閱模式!$B$40))</f>
        <v>-3004.41199524085</v>
      </c>
    </row>
    <row r="6" customFormat="false" ht="15" hidden="false" customHeight="false" outlineLevel="0" collapsed="false">
      <c r="A6" s="19" t="n">
        <v>399</v>
      </c>
      <c r="B6" s="26" t="n">
        <f aca="false">-B$4+PV(假設!$B$13/12,訂閱模式!$B$35,-($A6*(1-訂閱模式!$B$33)*(1-訂閱模式!$B$41)-訂閱模式!$B$39))-PV(假設!$B$13/12,訂閱模式!$B$35,0,-(B$4*訂閱模式!$B$38-B$4*訂閱模式!$B$40))</f>
        <v>3568.05679734131</v>
      </c>
      <c r="C6" s="26" t="n">
        <f aca="false">-C$4+PV(假設!$B$13/12,訂閱模式!$B$35,-($A6*(1-訂閱模式!$B$33)*(1-訂閱模式!$B$41)-訂閱模式!$B$39))-PV(假設!$B$13/12,訂閱模式!$B$35,0,-(C$4*訂閱模式!$B$38-C$4*訂閱模式!$B$40))</f>
        <v>2583.18477384404</v>
      </c>
      <c r="D6" s="26" t="n">
        <f aca="false">-D$4+PV(假設!$B$13/12,訂閱模式!$B$35,-($A6*(1-訂閱模式!$B$33)*(1-訂閱模式!$B$41)-訂閱模式!$B$39))-PV(假設!$B$13/12,訂閱模式!$B$35,0,-(D$4*訂閱模式!$B$38-D$4*訂閱模式!$B$40))</f>
        <v>1598.31275034678</v>
      </c>
      <c r="E6" s="26" t="n">
        <f aca="false">-E$4+PV(假設!$B$13/12,訂閱模式!$B$35,-($A6*(1-訂閱模式!$B$33)*(1-訂閱模式!$B$41)-訂閱模式!$B$39))-PV(假設!$B$13/12,訂閱模式!$B$35,0,-(E$4*訂閱模式!$B$38-E$4*訂閱模式!$B$40))</f>
        <v>613.440726849515</v>
      </c>
      <c r="F6" s="26" t="n">
        <f aca="false">-F$4+PV(假設!$B$13/12,訂閱模式!$B$35,-($A6*(1-訂閱模式!$B$33)*(1-訂閱模式!$B$41)-訂閱模式!$B$39))-PV(假設!$B$13/12,訂閱模式!$B$35,0,-(F$4*訂閱模式!$B$38-F$4*訂閱模式!$B$40))</f>
        <v>-371.431296647749</v>
      </c>
    </row>
    <row r="7" customFormat="false" ht="15" hidden="false" customHeight="false" outlineLevel="0" collapsed="false">
      <c r="A7" s="19" t="n">
        <v>499</v>
      </c>
      <c r="B7" s="26" t="n">
        <f aca="false">-B$4+PV(假設!$B$13/12,訂閱模式!$B$35,-($A7*(1-訂閱模式!$B$33)*(1-訂閱模式!$B$41)-訂閱模式!$B$39))-PV(假設!$B$13/12,訂閱模式!$B$35,0,-(B$4*訂閱模式!$B$38-B$4*訂閱模式!$B$40))</f>
        <v>6201.03749593441</v>
      </c>
      <c r="C7" s="26" t="n">
        <f aca="false">-C$4+PV(假設!$B$13/12,訂閱模式!$B$35,-($A7*(1-訂閱模式!$B$33)*(1-訂閱模式!$B$41)-訂閱模式!$B$39))-PV(假設!$B$13/12,訂閱模式!$B$35,0,-(C$4*訂閱模式!$B$38-C$4*訂閱模式!$B$40))</f>
        <v>5216.16547243715</v>
      </c>
      <c r="D7" s="26" t="n">
        <f aca="false">-D$4+PV(假設!$B$13/12,訂閱模式!$B$35,-($A7*(1-訂閱模式!$B$33)*(1-訂閱模式!$B$41)-訂閱模式!$B$39))-PV(假設!$B$13/12,訂閱模式!$B$35,0,-(D$4*訂閱模式!$B$38-D$4*訂閱模式!$B$40))</f>
        <v>4231.29344893988</v>
      </c>
      <c r="E7" s="26" t="n">
        <f aca="false">-E$4+PV(假設!$B$13/12,訂閱模式!$B$35,-($A7*(1-訂閱模式!$B$33)*(1-訂閱模式!$B$41)-訂閱模式!$B$39))-PV(假設!$B$13/12,訂閱模式!$B$35,0,-(E$4*訂閱模式!$B$38-E$4*訂閱模式!$B$40))</f>
        <v>3246.42142544262</v>
      </c>
      <c r="F7" s="26" t="n">
        <f aca="false">-F$4+PV(假設!$B$13/12,訂閱模式!$B$35,-($A7*(1-訂閱模式!$B$33)*(1-訂閱模式!$B$41)-訂閱模式!$B$39))-PV(假設!$B$13/12,訂閱模式!$B$35,0,-(F$4*訂閱模式!$B$38-F$4*訂閱模式!$B$40))</f>
        <v>2261.54940194535</v>
      </c>
    </row>
    <row r="8" customFormat="false" ht="15" hidden="false" customHeight="false" outlineLevel="0" collapsed="false">
      <c r="A8" s="19" t="n">
        <v>599</v>
      </c>
      <c r="B8" s="26" t="n">
        <f aca="false">-B$4+PV(假設!$B$13/12,訂閱模式!$B$35,-($A8*(1-訂閱模式!$B$33)*(1-訂閱模式!$B$41)-訂閱模式!$B$39))-PV(假設!$B$13/12,訂閱模式!$B$35,0,-(B$4*訂閱模式!$B$38-B$4*訂閱模式!$B$40))</f>
        <v>8834.01819452751</v>
      </c>
      <c r="C8" s="26" t="n">
        <f aca="false">-C$4+PV(假設!$B$13/12,訂閱模式!$B$35,-($A8*(1-訂閱模式!$B$33)*(1-訂閱模式!$B$41)-訂閱模式!$B$39))-PV(假設!$B$13/12,訂閱模式!$B$35,0,-(C$4*訂閱模式!$B$38-C$4*訂閱模式!$B$40))</f>
        <v>7849.14617103025</v>
      </c>
      <c r="D8" s="26" t="n">
        <f aca="false">-D$4+PV(假設!$B$13/12,訂閱模式!$B$35,-($A8*(1-訂閱模式!$B$33)*(1-訂閱模式!$B$41)-訂閱模式!$B$39))-PV(假設!$B$13/12,訂閱模式!$B$35,0,-(D$4*訂閱模式!$B$38-D$4*訂閱模式!$B$40))</f>
        <v>6864.27414753298</v>
      </c>
      <c r="E8" s="26" t="n">
        <f aca="false">-E$4+PV(假設!$B$13/12,訂閱模式!$B$35,-($A8*(1-訂閱模式!$B$33)*(1-訂閱模式!$B$41)-訂閱模式!$B$39))-PV(假設!$B$13/12,訂閱模式!$B$35,0,-(E$4*訂閱模式!$B$38-E$4*訂閱模式!$B$40))</f>
        <v>5879.40212403572</v>
      </c>
      <c r="F8" s="26" t="n">
        <f aca="false">-F$4+PV(假設!$B$13/12,訂閱模式!$B$35,-($A8*(1-訂閱模式!$B$33)*(1-訂閱模式!$B$41)-訂閱模式!$B$39))-PV(假設!$B$13/12,訂閱模式!$B$35,0,-(F$4*訂閱模式!$B$38-F$4*訂閱模式!$B$40))</f>
        <v>4894.53010053845</v>
      </c>
    </row>
    <row r="9" customFormat="false" ht="15" hidden="false" customHeight="false" outlineLevel="0" collapsed="false">
      <c r="A9" s="19" t="n">
        <v>699</v>
      </c>
      <c r="B9" s="26" t="n">
        <f aca="false">-B$4+PV(假設!$B$13/12,訂閱模式!$B$35,-($A9*(1-訂閱模式!$B$33)*(1-訂閱模式!$B$41)-訂閱模式!$B$39))-PV(假設!$B$13/12,訂閱模式!$B$35,0,-(B$4*訂閱模式!$B$38-B$4*訂閱模式!$B$40))</f>
        <v>11466.9988931206</v>
      </c>
      <c r="C9" s="26" t="n">
        <f aca="false">-C$4+PV(假設!$B$13/12,訂閱模式!$B$35,-($A9*(1-訂閱模式!$B$33)*(1-訂閱模式!$B$41)-訂閱模式!$B$39))-PV(假設!$B$13/12,訂閱模式!$B$35,0,-(C$4*訂閱模式!$B$38-C$4*訂閱模式!$B$40))</f>
        <v>10482.1268696233</v>
      </c>
      <c r="D9" s="26" t="n">
        <f aca="false">-D$4+PV(假設!$B$13/12,訂閱模式!$B$35,-($A9*(1-訂閱模式!$B$33)*(1-訂閱模式!$B$41)-訂閱模式!$B$39))-PV(假設!$B$13/12,訂閱模式!$B$35,0,-(D$4*訂閱模式!$B$38-D$4*訂閱模式!$B$40))</f>
        <v>9497.25484612608</v>
      </c>
      <c r="E9" s="26" t="n">
        <f aca="false">-E$4+PV(假設!$B$13/12,訂閱模式!$B$35,-($A9*(1-訂閱模式!$B$33)*(1-訂閱模式!$B$41)-訂閱模式!$B$39))-PV(假設!$B$13/12,訂閱模式!$B$35,0,-(E$4*訂閱模式!$B$38-E$4*訂閱模式!$B$40))</f>
        <v>8512.38282262882</v>
      </c>
      <c r="F9" s="26" t="n">
        <f aca="false">-F$4+PV(假設!$B$13/12,訂閱模式!$B$35,-($A9*(1-訂閱模式!$B$33)*(1-訂閱模式!$B$41)-訂閱模式!$B$39))-PV(假設!$B$13/12,訂閱模式!$B$35,0,-(F$4*訂閱模式!$B$38-F$4*訂閱模式!$B$40))</f>
        <v>7527.51079913155</v>
      </c>
    </row>
    <row r="10" customFormat="false" ht="15" hidden="false" customHeight="false" outlineLevel="0" collapsed="false">
      <c r="A10" s="19" t="n">
        <v>799</v>
      </c>
      <c r="B10" s="26" t="n">
        <f aca="false">-B$4+PV(假設!$B$13/12,訂閱模式!$B$35,-($A10*(1-訂閱模式!$B$33)*(1-訂閱模式!$B$41)-訂閱模式!$B$39))-PV(假設!$B$13/12,訂閱模式!$B$35,0,-(B$4*訂閱模式!$B$38-B$4*訂閱模式!$B$40))</f>
        <v>14099.9795917137</v>
      </c>
      <c r="C10" s="26" t="n">
        <f aca="false">-C$4+PV(假設!$B$13/12,訂閱模式!$B$35,-($A10*(1-訂閱模式!$B$33)*(1-訂閱模式!$B$41)-訂閱模式!$B$39))-PV(假設!$B$13/12,訂閱模式!$B$35,0,-(C$4*訂閱模式!$B$38-C$4*訂閱模式!$B$40))</f>
        <v>13115.1075682164</v>
      </c>
      <c r="D10" s="26" t="n">
        <f aca="false">-D$4+PV(假設!$B$13/12,訂閱模式!$B$35,-($A10*(1-訂閱模式!$B$33)*(1-訂閱模式!$B$41)-訂閱模式!$B$39))-PV(假設!$B$13/12,訂閱模式!$B$35,0,-(D$4*訂閱模式!$B$38-D$4*訂閱模式!$B$40))</f>
        <v>12130.2355447192</v>
      </c>
      <c r="E10" s="26" t="n">
        <f aca="false">-E$4+PV(假設!$B$13/12,訂閱模式!$B$35,-($A10*(1-訂閱模式!$B$33)*(1-訂閱模式!$B$41)-訂閱模式!$B$39))-PV(假設!$B$13/12,訂閱模式!$B$35,0,-(E$4*訂閱模式!$B$38-E$4*訂閱模式!$B$40))</f>
        <v>11145.3635212219</v>
      </c>
      <c r="F10" s="26" t="n">
        <f aca="false">-F$4+PV(假設!$B$13/12,訂閱模式!$B$35,-($A10*(1-訂閱模式!$B$33)*(1-訂閱模式!$B$41)-訂閱模式!$B$39))-PV(假設!$B$13/12,訂閱模式!$B$35,0,-(F$4*訂閱模式!$B$38-F$4*訂閱模式!$B$40))</f>
        <v>10160.4914977247</v>
      </c>
    </row>
    <row r="13" customFormat="false" ht="15" hidden="false" customHeight="false" outlineLevel="0" collapsed="false">
      <c r="A13" s="47" t="s">
        <v>394</v>
      </c>
    </row>
    <row r="14" customFormat="false" ht="15" hidden="false" customHeight="false" outlineLevel="0" collapsed="false">
      <c r="A14" s="39" t="s">
        <v>395</v>
      </c>
      <c r="B14" s="49" t="n">
        <v>0</v>
      </c>
      <c r="C14" s="49" t="n">
        <v>0.1</v>
      </c>
      <c r="D14" s="49" t="n">
        <v>0.15</v>
      </c>
      <c r="E14" s="49" t="n">
        <v>0.25</v>
      </c>
      <c r="F14" s="49" t="n">
        <v>0.35</v>
      </c>
    </row>
    <row r="15" customFormat="false" ht="15" hidden="false" customHeight="false" outlineLevel="0" collapsed="false">
      <c r="A15" s="19" t="n">
        <v>800</v>
      </c>
      <c r="B15" s="26" t="n">
        <f aca="false">-訂閱模式!$B$52+PV(假設!$B$13/12,訂閱模式!$B$55,-($A15*(1-訂閱模式!$B$54)-訂閱模式!$B$56-訂閱模式!$B$52*訂閱模式!$B$57/12))+訂閱模式!$B$52*B$14/(1+假設!$B$13/12)^訂閱模式!$B$55</f>
        <v>-5013.15506516</v>
      </c>
      <c r="C15" s="26" t="n">
        <f aca="false">-訂閱模式!$B$52+PV(假設!$B$13/12,訂閱模式!$B$55,-($A15*(1-訂閱模式!$B$54)-訂閱模式!$B$56-訂閱模式!$B$52*訂閱模式!$B$57/12))+訂閱模式!$B$52*C$14/(1+假設!$B$13/12)^訂閱模式!$B$55</f>
        <v>-3650.40858875804</v>
      </c>
      <c r="D15" s="26" t="n">
        <f aca="false">-訂閱模式!$B$52+PV(假設!$B$13/12,訂閱模式!$B$55,-($A15*(1-訂閱模式!$B$54)-訂閱模式!$B$56-訂閱模式!$B$52*訂閱模式!$B$57/12))+訂閱模式!$B$52*D$14/(1+假設!$B$13/12)^訂閱模式!$B$55</f>
        <v>-2969.03535055706</v>
      </c>
      <c r="E15" s="26" t="n">
        <f aca="false">-訂閱模式!$B$52+PV(假設!$B$13/12,訂閱模式!$B$55,-($A15*(1-訂閱模式!$B$54)-訂閱模式!$B$56-訂閱模式!$B$52*訂閱模式!$B$57/12))+訂閱模式!$B$52*E$14/(1+假設!$B$13/12)^訂閱模式!$B$55</f>
        <v>-1606.2888741551</v>
      </c>
      <c r="F15" s="26" t="n">
        <f aca="false">-訂閱模式!$B$52+PV(假設!$B$13/12,訂閱模式!$B$55,-($A15*(1-訂閱模式!$B$54)-訂閱模式!$B$56-訂閱模式!$B$52*訂閱模式!$B$57/12))+訂閱模式!$B$52*F$14/(1+假設!$B$13/12)^訂閱模式!$B$55</f>
        <v>-243.542397753139</v>
      </c>
    </row>
    <row r="16" customFormat="false" ht="15" hidden="false" customHeight="false" outlineLevel="0" collapsed="false">
      <c r="A16" s="19" t="n">
        <v>1000</v>
      </c>
      <c r="B16" s="26" t="n">
        <f aca="false">-訂閱模式!$B$52+PV(假設!$B$13/12,訂閱模式!$B$55,-($A16*(1-訂閱模式!$B$54)-訂閱模式!$B$56-訂閱模式!$B$52*訂閱模式!$B$57/12))+訂閱模式!$B$52*B$14/(1+假設!$B$13/12)^訂閱模式!$B$55</f>
        <v>-155.185397415018</v>
      </c>
      <c r="C16" s="26" t="n">
        <f aca="false">-訂閱模式!$B$52+PV(假設!$B$13/12,訂閱模式!$B$55,-($A16*(1-訂閱模式!$B$54)-訂閱模式!$B$56-訂閱模式!$B$52*訂閱模式!$B$57/12))+訂閱模式!$B$52*C$14/(1+假設!$B$13/12)^訂閱模式!$B$55</f>
        <v>1207.56107898694</v>
      </c>
      <c r="D16" s="26" t="n">
        <f aca="false">-訂閱模式!$B$52+PV(假設!$B$13/12,訂閱模式!$B$55,-($A16*(1-訂閱模式!$B$54)-訂閱模式!$B$56-訂閱模式!$B$52*訂閱模式!$B$57/12))+訂閱模式!$B$52*D$14/(1+假設!$B$13/12)^訂閱模式!$B$55</f>
        <v>1888.93431718792</v>
      </c>
      <c r="E16" s="26" t="n">
        <f aca="false">-訂閱模式!$B$52+PV(假設!$B$13/12,訂閱模式!$B$55,-($A16*(1-訂閱模式!$B$54)-訂閱模式!$B$56-訂閱模式!$B$52*訂閱模式!$B$57/12))+訂閱模式!$B$52*E$14/(1+假設!$B$13/12)^訂閱模式!$B$55</f>
        <v>3251.68079358988</v>
      </c>
      <c r="F16" s="26" t="n">
        <f aca="false">-訂閱模式!$B$52+PV(假設!$B$13/12,訂閱模式!$B$55,-($A16*(1-訂閱模式!$B$54)-訂閱模式!$B$56-訂閱模式!$B$52*訂閱模式!$B$57/12))+訂閱模式!$B$52*F$14/(1+假設!$B$13/12)^訂閱模式!$B$55</f>
        <v>4614.42726999184</v>
      </c>
    </row>
    <row r="17" customFormat="false" ht="15" hidden="false" customHeight="false" outlineLevel="0" collapsed="false">
      <c r="A17" s="19" t="n">
        <v>1200</v>
      </c>
      <c r="B17" s="26" t="n">
        <f aca="false">-訂閱模式!$B$52+PV(假設!$B$13/12,訂閱模式!$B$55,-($A17*(1-訂閱模式!$B$54)-訂閱模式!$B$56-訂閱模式!$B$52*訂閱模式!$B$57/12))+訂閱模式!$B$52*B$14/(1+假設!$B$13/12)^訂閱模式!$B$55</f>
        <v>4702.78427032996</v>
      </c>
      <c r="C17" s="26" t="n">
        <f aca="false">-訂閱模式!$B$52+PV(假設!$B$13/12,訂閱模式!$B$55,-($A17*(1-訂閱模式!$B$54)-訂閱模式!$B$56-訂閱模式!$B$52*訂閱模式!$B$57/12))+訂閱模式!$B$52*C$14/(1+假設!$B$13/12)^訂閱模式!$B$55</f>
        <v>6065.53074673192</v>
      </c>
      <c r="D17" s="26" t="n">
        <f aca="false">-訂閱模式!$B$52+PV(假設!$B$13/12,訂閱模式!$B$55,-($A17*(1-訂閱模式!$B$54)-訂閱模式!$B$56-訂閱模式!$B$52*訂閱模式!$B$57/12))+訂閱模式!$B$52*D$14/(1+假設!$B$13/12)^訂閱模式!$B$55</f>
        <v>6746.9039849329</v>
      </c>
      <c r="E17" s="26" t="n">
        <f aca="false">-訂閱模式!$B$52+PV(假設!$B$13/12,訂閱模式!$B$55,-($A17*(1-訂閱模式!$B$54)-訂閱模式!$B$56-訂閱模式!$B$52*訂閱模式!$B$57/12))+訂閱模式!$B$52*E$14/(1+假設!$B$13/12)^訂閱模式!$B$55</f>
        <v>8109.65046133486</v>
      </c>
      <c r="F17" s="26" t="n">
        <f aca="false">-訂閱模式!$B$52+PV(假設!$B$13/12,訂閱模式!$B$55,-($A17*(1-訂閱模式!$B$54)-訂閱模式!$B$56-訂閱模式!$B$52*訂閱模式!$B$57/12))+訂閱模式!$B$52*F$14/(1+假設!$B$13/12)^訂閱模式!$B$55</f>
        <v>9472.39693773682</v>
      </c>
    </row>
    <row r="18" customFormat="false" ht="15" hidden="false" customHeight="false" outlineLevel="0" collapsed="false">
      <c r="A18" s="19" t="n">
        <v>1400</v>
      </c>
      <c r="B18" s="26" t="n">
        <f aca="false">-訂閱模式!$B$52+PV(假設!$B$13/12,訂閱模式!$B$55,-($A18*(1-訂閱模式!$B$54)-訂閱模式!$B$56-訂閱模式!$B$52*訂閱模式!$B$57/12))+訂閱模式!$B$52*B$14/(1+假設!$B$13/12)^訂閱模式!$B$55</f>
        <v>9560.75393807494</v>
      </c>
      <c r="C18" s="26" t="n">
        <f aca="false">-訂閱模式!$B$52+PV(假設!$B$13/12,訂閱模式!$B$55,-($A18*(1-訂閱模式!$B$54)-訂閱模式!$B$56-訂閱模式!$B$52*訂閱模式!$B$57/12))+訂閱模式!$B$52*C$14/(1+假設!$B$13/12)^訂閱模式!$B$55</f>
        <v>10923.5004144769</v>
      </c>
      <c r="D18" s="26" t="n">
        <f aca="false">-訂閱模式!$B$52+PV(假設!$B$13/12,訂閱模式!$B$55,-($A18*(1-訂閱模式!$B$54)-訂閱模式!$B$56-訂閱模式!$B$52*訂閱模式!$B$57/12))+訂閱模式!$B$52*D$14/(1+假設!$B$13/12)^訂閱模式!$B$55</f>
        <v>11604.8736526779</v>
      </c>
      <c r="E18" s="26" t="n">
        <f aca="false">-訂閱模式!$B$52+PV(假設!$B$13/12,訂閱模式!$B$55,-($A18*(1-訂閱模式!$B$54)-訂閱模式!$B$56-訂閱模式!$B$52*訂閱模式!$B$57/12))+訂閱模式!$B$52*E$14/(1+假設!$B$13/12)^訂閱模式!$B$55</f>
        <v>12967.6201290798</v>
      </c>
      <c r="F18" s="26" t="n">
        <f aca="false">-訂閱模式!$B$52+PV(假設!$B$13/12,訂閱模式!$B$55,-($A18*(1-訂閱模式!$B$54)-訂閱模式!$B$56-訂閱模式!$B$52*訂閱模式!$B$57/12))+訂閱模式!$B$52*F$14/(1+假設!$B$13/12)^訂閱模式!$B$55</f>
        <v>14330.3666054818</v>
      </c>
    </row>
    <row r="19" customFormat="false" ht="15" hidden="false" customHeight="false" outlineLevel="0" collapsed="false">
      <c r="A19" s="19" t="n">
        <v>1600</v>
      </c>
      <c r="B19" s="26" t="n">
        <f aca="false">-訂閱模式!$B$52+PV(假設!$B$13/12,訂閱模式!$B$55,-($A19*(1-訂閱模式!$B$54)-訂閱模式!$B$56-訂閱模式!$B$52*訂閱模式!$B$57/12))+訂閱模式!$B$52*B$14/(1+假設!$B$13/12)^訂閱模式!$B$55</f>
        <v>14418.7236058199</v>
      </c>
      <c r="C19" s="26" t="n">
        <f aca="false">-訂閱模式!$B$52+PV(假設!$B$13/12,訂閱模式!$B$55,-($A19*(1-訂閱模式!$B$54)-訂閱模式!$B$56-訂閱模式!$B$52*訂閱模式!$B$57/12))+訂閱模式!$B$52*C$14/(1+假設!$B$13/12)^訂閱模式!$B$55</f>
        <v>15781.4700822219</v>
      </c>
      <c r="D19" s="26" t="n">
        <f aca="false">-訂閱模式!$B$52+PV(假設!$B$13/12,訂閱模式!$B$55,-($A19*(1-訂閱模式!$B$54)-訂閱模式!$B$56-訂閱模式!$B$52*訂閱模式!$B$57/12))+訂閱模式!$B$52*D$14/(1+假設!$B$13/12)^訂閱模式!$B$55</f>
        <v>16462.8433204229</v>
      </c>
      <c r="E19" s="26" t="n">
        <f aca="false">-訂閱模式!$B$52+PV(假設!$B$13/12,訂閱模式!$B$55,-($A19*(1-訂閱模式!$B$54)-訂閱模式!$B$56-訂閱模式!$B$52*訂閱模式!$B$57/12))+訂閱模式!$B$52*E$14/(1+假設!$B$13/12)^訂閱模式!$B$55</f>
        <v>17825.5897968248</v>
      </c>
      <c r="F19" s="26" t="n">
        <f aca="false">-訂閱模式!$B$52+PV(假設!$B$13/12,訂閱模式!$B$55,-($A19*(1-訂閱模式!$B$54)-訂閱模式!$B$56-訂閱模式!$B$52*訂閱模式!$B$57/12))+訂閱模式!$B$52*F$14/(1+假設!$B$13/12)^訂閱模式!$B$55</f>
        <v>19188.3362732268</v>
      </c>
    </row>
    <row r="22" customFormat="false" ht="15" hidden="false" customHeight="false" outlineLevel="0" collapsed="false">
      <c r="A22" s="47" t="s">
        <v>396</v>
      </c>
    </row>
    <row r="23" customFormat="false" ht="15" hidden="false" customHeight="false" outlineLevel="0" collapsed="false">
      <c r="A23" s="39" t="s">
        <v>397</v>
      </c>
      <c r="B23" s="48" t="n">
        <v>990</v>
      </c>
      <c r="C23" s="48" t="n">
        <v>1400</v>
      </c>
      <c r="D23" s="48" t="n">
        <v>1800</v>
      </c>
      <c r="E23" s="48" t="n">
        <v>2400</v>
      </c>
      <c r="F23" s="48" t="n">
        <v>3000</v>
      </c>
    </row>
    <row r="24" customFormat="false" ht="15" hidden="false" customHeight="false" outlineLevel="0" collapsed="false">
      <c r="A24" s="18" t="n">
        <v>0.05</v>
      </c>
      <c r="B24" s="26" t="n">
        <f aca="false">$A24*訂閱模式!$B$17*(B$23*(1-訂閱模式!$B$18)-訂閱模式!$B$19)-(1-訂閱模式!$B$21)*訂閱模式!$B$20-訂閱模式!$B$23</f>
        <v>-381.7</v>
      </c>
      <c r="C24" s="26" t="n">
        <f aca="false">$A24*訂閱模式!$B$17*(C$23*(1-訂閱模式!$B$18)-訂閱模式!$B$19)-(1-訂閱模式!$B$21)*訂閱模式!$B$20-訂閱模式!$B$23</f>
        <v>-312</v>
      </c>
      <c r="D24" s="26" t="n">
        <f aca="false">$A24*訂閱模式!$B$17*(D$23*(1-訂閱模式!$B$18)-訂閱模式!$B$19)-(1-訂閱模式!$B$21)*訂閱模式!$B$20-訂閱模式!$B$23</f>
        <v>-244</v>
      </c>
      <c r="E24" s="26" t="n">
        <f aca="false">$A24*訂閱模式!$B$17*(E$23*(1-訂閱模式!$B$18)-訂閱模式!$B$19)-(1-訂閱模式!$B$21)*訂閱模式!$B$20-訂閱模式!$B$23</f>
        <v>-142</v>
      </c>
      <c r="F24" s="26" t="n">
        <f aca="false">$A24*訂閱模式!$B$17*(F$23*(1-訂閱模式!$B$18)-訂閱模式!$B$19)-(1-訂閱模式!$B$21)*訂閱模式!$B$20-訂閱模式!$B$23</f>
        <v>-40</v>
      </c>
    </row>
    <row r="25" customFormat="false" ht="15" hidden="false" customHeight="false" outlineLevel="0" collapsed="false">
      <c r="A25" s="18" t="n">
        <v>0.1</v>
      </c>
      <c r="B25" s="26" t="n">
        <f aca="false">$A25*訂閱模式!$B$17*(B$23*(1-訂閱模式!$B$18)-訂閱模式!$B$19)-(1-訂閱模式!$B$21)*訂閱模式!$B$20-訂閱模式!$B$23</f>
        <v>-283.4</v>
      </c>
      <c r="C25" s="26" t="n">
        <f aca="false">$A25*訂閱模式!$B$17*(C$23*(1-訂閱模式!$B$18)-訂閱模式!$B$19)-(1-訂閱模式!$B$21)*訂閱模式!$B$20-訂閱模式!$B$23</f>
        <v>-144</v>
      </c>
      <c r="D25" s="26" t="n">
        <f aca="false">$A25*訂閱模式!$B$17*(D$23*(1-訂閱模式!$B$18)-訂閱模式!$B$19)-(1-訂閱模式!$B$21)*訂閱模式!$B$20-訂閱模式!$B$23</f>
        <v>-8</v>
      </c>
      <c r="E25" s="26" t="n">
        <f aca="false">$A25*訂閱模式!$B$17*(E$23*(1-訂閱模式!$B$18)-訂閱模式!$B$19)-(1-訂閱模式!$B$21)*訂閱模式!$B$20-訂閱模式!$B$23</f>
        <v>196</v>
      </c>
      <c r="F25" s="26" t="n">
        <f aca="false">$A25*訂閱模式!$B$17*(F$23*(1-訂閱模式!$B$18)-訂閱模式!$B$19)-(1-訂閱模式!$B$21)*訂閱模式!$B$20-訂閱模式!$B$23</f>
        <v>400</v>
      </c>
    </row>
    <row r="26" customFormat="false" ht="15" hidden="false" customHeight="false" outlineLevel="0" collapsed="false">
      <c r="A26" s="18" t="n">
        <v>0.15</v>
      </c>
      <c r="B26" s="26" t="n">
        <f aca="false">$A26*訂閱模式!$B$17*(B$23*(1-訂閱模式!$B$18)-訂閱模式!$B$19)-(1-訂閱模式!$B$21)*訂閱模式!$B$20-訂閱模式!$B$23</f>
        <v>-185.1</v>
      </c>
      <c r="C26" s="26" t="n">
        <f aca="false">$A26*訂閱模式!$B$17*(C$23*(1-訂閱模式!$B$18)-訂閱模式!$B$19)-(1-訂閱模式!$B$21)*訂閱模式!$B$20-訂閱模式!$B$23</f>
        <v>24</v>
      </c>
      <c r="D26" s="26" t="n">
        <f aca="false">$A26*訂閱模式!$B$17*(D$23*(1-訂閱模式!$B$18)-訂閱模式!$B$19)-(1-訂閱模式!$B$21)*訂閱模式!$B$20-訂閱模式!$B$23</f>
        <v>228</v>
      </c>
      <c r="E26" s="26" t="n">
        <f aca="false">$A26*訂閱模式!$B$17*(E$23*(1-訂閱模式!$B$18)-訂閱模式!$B$19)-(1-訂閱模式!$B$21)*訂閱模式!$B$20-訂閱模式!$B$23</f>
        <v>534</v>
      </c>
      <c r="F26" s="26" t="n">
        <f aca="false">$A26*訂閱模式!$B$17*(F$23*(1-訂閱模式!$B$18)-訂閱模式!$B$19)-(1-訂閱模式!$B$21)*訂閱模式!$B$20-訂閱模式!$B$23</f>
        <v>840</v>
      </c>
    </row>
    <row r="27" customFormat="false" ht="15" hidden="false" customHeight="false" outlineLevel="0" collapsed="false">
      <c r="A27" s="18" t="n">
        <v>0.2</v>
      </c>
      <c r="B27" s="26" t="n">
        <f aca="false">$A27*訂閱模式!$B$17*(B$23*(1-訂閱模式!$B$18)-訂閱模式!$B$19)-(1-訂閱模式!$B$21)*訂閱模式!$B$20-訂閱模式!$B$23</f>
        <v>-86.8</v>
      </c>
      <c r="C27" s="26" t="n">
        <f aca="false">$A27*訂閱模式!$B$17*(C$23*(1-訂閱模式!$B$18)-訂閱模式!$B$19)-(1-訂閱模式!$B$21)*訂閱模式!$B$20-訂閱模式!$B$23</f>
        <v>192</v>
      </c>
      <c r="D27" s="26" t="n">
        <f aca="false">$A27*訂閱模式!$B$17*(D$23*(1-訂閱模式!$B$18)-訂閱模式!$B$19)-(1-訂閱模式!$B$21)*訂閱模式!$B$20-訂閱模式!$B$23</f>
        <v>464</v>
      </c>
      <c r="E27" s="26" t="n">
        <f aca="false">$A27*訂閱模式!$B$17*(E$23*(1-訂閱模式!$B$18)-訂閱模式!$B$19)-(1-訂閱模式!$B$21)*訂閱模式!$B$20-訂閱模式!$B$23</f>
        <v>872</v>
      </c>
      <c r="F27" s="26" t="n">
        <f aca="false">$A27*訂閱模式!$B$17*(F$23*(1-訂閱模式!$B$18)-訂閱模式!$B$19)-(1-訂閱模式!$B$21)*訂閱模式!$B$20-訂閱模式!$B$23</f>
        <v>1280</v>
      </c>
    </row>
    <row r="28" customFormat="false" ht="15" hidden="false" customHeight="false" outlineLevel="0" collapsed="false">
      <c r="A28" s="18" t="n">
        <v>0.3</v>
      </c>
      <c r="B28" s="26" t="n">
        <f aca="false">$A28*訂閱模式!$B$17*(B$23*(1-訂閱模式!$B$18)-訂閱模式!$B$19)-(1-訂閱模式!$B$21)*訂閱模式!$B$20-訂閱模式!$B$23</f>
        <v>109.8</v>
      </c>
      <c r="C28" s="26" t="n">
        <f aca="false">$A28*訂閱模式!$B$17*(C$23*(1-訂閱模式!$B$18)-訂閱模式!$B$19)-(1-訂閱模式!$B$21)*訂閱模式!$B$20-訂閱模式!$B$23</f>
        <v>528</v>
      </c>
      <c r="D28" s="26" t="n">
        <f aca="false">$A28*訂閱模式!$B$17*(D$23*(1-訂閱模式!$B$18)-訂閱模式!$B$19)-(1-訂閱模式!$B$21)*訂閱模式!$B$20-訂閱模式!$B$23</f>
        <v>936</v>
      </c>
      <c r="E28" s="26" t="n">
        <f aca="false">$A28*訂閱模式!$B$17*(E$23*(1-訂閱模式!$B$18)-訂閱模式!$B$19)-(1-訂閱模式!$B$21)*訂閱模式!$B$20-訂閱模式!$B$23</f>
        <v>1548</v>
      </c>
      <c r="F28" s="26" t="n">
        <f aca="false">$A28*訂閱模式!$B$17*(F$23*(1-訂閱模式!$B$18)-訂閱模式!$B$19)-(1-訂閱模式!$B$21)*訂閱模式!$B$20-訂閱模式!$B$23</f>
        <v>2160</v>
      </c>
    </row>
    <row r="29" customFormat="false" ht="15" hidden="false" customHeight="false" outlineLevel="0" collapsed="false">
      <c r="A29" s="18" t="n">
        <v>0.4</v>
      </c>
      <c r="B29" s="26" t="n">
        <f aca="false">$A29*訂閱模式!$B$17*(B$23*(1-訂閱模式!$B$18)-訂閱模式!$B$19)-(1-訂閱模式!$B$21)*訂閱模式!$B$20-訂閱模式!$B$23</f>
        <v>306.4</v>
      </c>
      <c r="C29" s="26" t="n">
        <f aca="false">$A29*訂閱模式!$B$17*(C$23*(1-訂閱模式!$B$18)-訂閱模式!$B$19)-(1-訂閱模式!$B$21)*訂閱模式!$B$20-訂閱模式!$B$23</f>
        <v>864</v>
      </c>
      <c r="D29" s="26" t="n">
        <f aca="false">$A29*訂閱模式!$B$17*(D$23*(1-訂閱模式!$B$18)-訂閱模式!$B$19)-(1-訂閱模式!$B$21)*訂閱模式!$B$20-訂閱模式!$B$23</f>
        <v>1408</v>
      </c>
      <c r="E29" s="26" t="n">
        <f aca="false">$A29*訂閱模式!$B$17*(E$23*(1-訂閱模式!$B$18)-訂閱模式!$B$19)-(1-訂閱模式!$B$21)*訂閱模式!$B$20-訂閱模式!$B$23</f>
        <v>2224</v>
      </c>
      <c r="F29" s="26" t="n">
        <f aca="false">$A29*訂閱模式!$B$17*(F$23*(1-訂閱模式!$B$18)-訂閱模式!$B$19)-(1-訂閱模式!$B$21)*訂閱模式!$B$20-訂閱模式!$B$23</f>
        <v>3040</v>
      </c>
    </row>
    <row r="32" customFormat="false" ht="15" hidden="false" customHeight="false" outlineLevel="0" collapsed="false">
      <c r="A32" s="10" t="s">
        <v>398</v>
      </c>
    </row>
    <row r="33" customFormat="false" ht="15" hidden="false" customHeight="false" outlineLevel="0" collapsed="false">
      <c r="A33" s="45" t="s">
        <v>399</v>
      </c>
      <c r="B33" s="48" t="n">
        <v>500</v>
      </c>
      <c r="C33" s="48" t="n">
        <v>630</v>
      </c>
      <c r="D33" s="48" t="n">
        <v>720</v>
      </c>
      <c r="E33" s="48" t="n">
        <v>800</v>
      </c>
    </row>
    <row r="34" customFormat="false" ht="15" hidden="false" customHeight="false" outlineLevel="0" collapsed="false">
      <c r="A34" s="13" t="n">
        <v>2.5</v>
      </c>
      <c r="B34" s="26" t="n">
        <f aca="false">$A34*B$33+BOM分析!$C$18+BOM分析!$C$19+BOM分析!$C$20</f>
        <v>2950</v>
      </c>
      <c r="C34" s="26" t="n">
        <f aca="false">$A34*C$33+BOM分析!$C$18+BOM分析!$C$19+BOM分析!$C$20</f>
        <v>3275</v>
      </c>
      <c r="D34" s="26" t="n">
        <f aca="false">$A34*D$33+BOM分析!$C$18+BOM分析!$C$19+BOM分析!$C$20</f>
        <v>3500</v>
      </c>
      <c r="E34" s="26" t="n">
        <f aca="false">$A34*E$33+BOM分析!$C$18+BOM分析!$C$19+BOM分析!$C$20</f>
        <v>3700</v>
      </c>
    </row>
    <row r="35" customFormat="false" ht="15" hidden="false" customHeight="false" outlineLevel="0" collapsed="false">
      <c r="A35" s="13" t="n">
        <v>3</v>
      </c>
      <c r="B35" s="26" t="n">
        <f aca="false">$A35*B$33+BOM分析!$C$18+BOM分析!$C$19+BOM分析!$C$20</f>
        <v>3200</v>
      </c>
      <c r="C35" s="26" t="n">
        <f aca="false">$A35*C$33+BOM分析!$C$18+BOM分析!$C$19+BOM分析!$C$20</f>
        <v>3590</v>
      </c>
      <c r="D35" s="26" t="n">
        <f aca="false">$A35*D$33+BOM分析!$C$18+BOM分析!$C$19+BOM分析!$C$20</f>
        <v>3860</v>
      </c>
      <c r="E35" s="26" t="n">
        <f aca="false">$A35*E$33+BOM分析!$C$18+BOM分析!$C$19+BOM分析!$C$20</f>
        <v>4100</v>
      </c>
    </row>
    <row r="36" customFormat="false" ht="15" hidden="false" customHeight="false" outlineLevel="0" collapsed="false">
      <c r="A36" s="13" t="n">
        <v>3.5</v>
      </c>
      <c r="B36" s="26" t="n">
        <f aca="false">$A36*B$33+BOM分析!$C$18+BOM分析!$C$19+BOM分析!$C$20</f>
        <v>3450</v>
      </c>
      <c r="C36" s="26" t="n">
        <f aca="false">$A36*C$33+BOM分析!$C$18+BOM分析!$C$19+BOM分析!$C$20</f>
        <v>3905</v>
      </c>
      <c r="D36" s="26" t="n">
        <f aca="false">$A36*D$33+BOM分析!$C$18+BOM分析!$C$19+BOM分析!$C$20</f>
        <v>4220</v>
      </c>
      <c r="E36" s="26" t="n">
        <f aca="false">$A36*E$33+BOM分析!$C$18+BOM分析!$C$19+BOM分析!$C$20</f>
        <v>4500</v>
      </c>
    </row>
    <row r="37" customFormat="false" ht="15" hidden="false" customHeight="false" outlineLevel="0" collapsed="false">
      <c r="A37" s="13" t="n">
        <v>4</v>
      </c>
      <c r="B37" s="26" t="n">
        <f aca="false">$A37*B$33+BOM分析!$C$18+BOM分析!$C$19+BOM分析!$C$20</f>
        <v>3700</v>
      </c>
      <c r="C37" s="26" t="n">
        <f aca="false">$A37*C$33+BOM分析!$C$18+BOM分析!$C$19+BOM分析!$C$20</f>
        <v>4220</v>
      </c>
      <c r="D37" s="26" t="n">
        <f aca="false">$A37*D$33+BOM分析!$C$18+BOM分析!$C$19+BOM分析!$C$20</f>
        <v>4580</v>
      </c>
      <c r="E37" s="26" t="n">
        <f aca="false">$A37*E$33+BOM分析!$C$18+BOM分析!$C$19+BOM分析!$C$20</f>
        <v>4900</v>
      </c>
    </row>
    <row r="38" customFormat="false" ht="15" hidden="false" customHeight="false" outlineLevel="0" collapsed="false">
      <c r="A38" s="13" t="n">
        <v>4.5</v>
      </c>
      <c r="B38" s="26" t="n">
        <f aca="false">$A38*B$33+BOM分析!$C$18+BOM分析!$C$19+BOM分析!$C$20</f>
        <v>3950</v>
      </c>
      <c r="C38" s="26" t="n">
        <f aca="false">$A38*C$33+BOM分析!$C$18+BOM分析!$C$19+BOM分析!$C$20</f>
        <v>4535</v>
      </c>
      <c r="D38" s="26" t="n">
        <f aca="false">$A38*D$33+BOM分析!$C$18+BOM分析!$C$19+BOM分析!$C$20</f>
        <v>4940</v>
      </c>
      <c r="E38" s="26" t="n">
        <f aca="false">$A38*E$33+BOM分析!$C$18+BOM分析!$C$19+BOM分析!$C$20</f>
        <v>5300</v>
      </c>
    </row>
    <row r="39" customFormat="false" ht="15" hidden="false" customHeight="false" outlineLevel="0" collapsed="false">
      <c r="A39" s="13" t="n">
        <v>5</v>
      </c>
      <c r="B39" s="26" t="n">
        <f aca="false">$A39*B$33+BOM分析!$C$18+BOM分析!$C$19+BOM分析!$C$20</f>
        <v>4200</v>
      </c>
      <c r="C39" s="26" t="n">
        <f aca="false">$A39*C$33+BOM分析!$C$18+BOM分析!$C$19+BOM分析!$C$20</f>
        <v>4850</v>
      </c>
      <c r="D39" s="26" t="n">
        <f aca="false">$A39*D$33+BOM分析!$C$18+BOM分析!$C$19+BOM分析!$C$20</f>
        <v>5300</v>
      </c>
      <c r="E39" s="26" t="n">
        <f aca="false">$A39*E$33+BOM分析!$C$18+BOM分析!$C$19+BOM分析!$C$20</f>
        <v>5700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2026-09-21T04:01:38Z</dcterms:created>
  <dc:creator>openpyxl</dc:creator>
  <dc:description/>
  <dc:language>en-US</dc:language>
  <cp:lastModifiedBy/>
  <dcterms:modified xsi:type="dcterms:W3CDTF">2026-09-21T04:01:38Z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